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ad77c251f3c4a4d" /></Relationships>
</file>

<file path=xl/workbook.xml><?xml version="1.0" encoding="utf-8"?>
<x:workbook xmlns:x="http://schemas.openxmlformats.org/spreadsheetml/2006/main">
  <x:sheets>
    <x:sheet xmlns:r="http://schemas.openxmlformats.org/officeDocument/2006/relationships" name="Grading Audit" sheetId="1" r:id="R5ddcb09b2cdd48aa"/>
    <x:sheet xmlns:r="http://schemas.openxmlformats.org/officeDocument/2006/relationships" name="Preliminary Grades" sheetId="2" r:id="R252f6f39fdc641d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b/>
      <x:sz val="14"/>
      <x:color rgb="FFFFFFFF"/>
      <x:name val="Carlito"/>
    </x:font>
    <x:font>
      <x:i/>
      <x:sz val="10"/>
      <x:color rgb="FF1F2937"/>
      <x:name val="Carlito"/>
    </x:font>
    <x:font>
      <x:b/>
      <x:sz val="11"/>
      <x:color rgb="FFFFFFFF"/>
      <x:name val="Carlito"/>
    </x:font>
  </x:fonts>
  <x:fills count="4">
    <x:fill>
      <x:patternFill patternType="none"/>
    </x:fill>
    <x:fill>
      <x:patternFill patternType="gray125"/>
    </x:fill>
    <x:fill>
      <x:patternFill patternType="solid">
        <x:fgColor rgb="FF4472C4"/>
      </x:patternFill>
    </x:fill>
    <x:fill>
      <x:patternFill patternType="solid">
        <x:fgColor rgb="FFD9EAF7"/>
      </x:patternFill>
    </x:fill>
  </x:fills>
  <x:borders count="18">
    <x:border/>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8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3" fillId="2" borderId="2"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0" fontId="3" fillId="2" borderId="4" xfId="0" applyNumberFormat="1" applyFont="1" applyFill="1" applyBorder="1" applyAlignment="1">
      <x:alignment horizontal="center" vertical="center"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8" xfId="0" applyNumberFormat="1" applyFont="1" applyFill="1" applyBorder="1" applyAlignment="1">
      <x:alignment horizontal="center" vertical="top" wrapText="1"/>
    </x:xf>
    <x:xf numFmtId="0" fontId="0" fillId="0" borderId="9" xfId="0" applyNumberFormat="1" applyFont="1" applyFill="1" applyBorder="1" applyAlignment="1">
      <x:alignment vertical="top" wrapText="1"/>
    </x:xf>
    <x:xf numFmtId="0" fontId="3" fillId="2" borderId="10" xfId="0" applyNumberFormat="1" applyFont="1" applyFill="1" applyBorder="1" applyAlignment="1">
      <x:alignment horizontal="center" vertical="center" wrapText="1"/>
    </x:xf>
    <x:xf numFmtId="0" fontId="3" fillId="2" borderId="11" xfId="0" applyNumberFormat="1" applyFont="1" applyFill="1" applyBorder="1" applyAlignment="1">
      <x:alignment horizontal="center" vertical="center" wrapText="1"/>
    </x:xf>
    <x:xf numFmtId="0" fontId="3" fillId="2" borderId="12" xfId="0" applyNumberFormat="1" applyFont="1" applyFill="1" applyBorder="1" applyAlignment="1">
      <x:alignment horizontal="center" vertical="center"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6" xfId="0" applyNumberFormat="1" applyFont="1" applyFill="1" applyBorder="1" applyAlignment="1">
      <x:alignment horizontal="center" vertical="top" wrapText="1"/>
    </x:xf>
    <x:xf numFmtId="0" fontId="0" fillId="0" borderId="17" xfId="0" applyNumberFormat="1" applyFont="1" applyFill="1" applyBorder="1" applyAlignment="1">
      <x:alignment vertical="top" wrapText="1"/>
    </x:xf>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3" fillId="2" borderId="1" xfId="0" applyNumberFormat="1" applyFont="1" applyFill="1" applyBorder="1" applyAlignment="1">
      <x:alignment horizontal="center"/>
    </x:xf>
    <x:xf numFmtId="0" fontId="3" fillId="2" borderId="1" xfId="0" applyNumberFormat="1" applyFont="1" applyFill="1" applyBorder="1" applyAlignment="1">
      <x:alignment horizontal="center" vertical="center"/>
    </x:xf>
    <x:xf numFmtId="0" fontId="0" fillId="0" borderId="0" xfId="0" applyNumberFormat="1" applyFont="1" applyFill="1" applyBorder="1" applyAlignment="1">
      <x:alignment vertical="center"/>
    </x:xf>
    <x:xf numFmtId="0" fontId="0" fillId="0" borderId="1" xfId="0" applyNumberFormat="1" applyFont="1" applyFill="1" applyBorder="1" applyAlignment="1">
      <x:alignment vertical="center"/>
    </x:xf>
    <x:xf numFmtId="0" fontId="0" fillId="0" borderId="0" xfId="0" applyNumberFormat="1" applyFont="1" applyFill="1" applyBorder="1" applyAlignment="1">
      <x:alignment horizontal="center" vertical="center"/>
    </x:xf>
    <x:xf numFmtId="0" fontId="0" fillId="0" borderId="1" xfId="0" applyNumberFormat="1" applyFont="1" applyFill="1" applyBorder="1" applyAlignment="1">
      <x:alignment horizontal="center" vertical="center"/>
    </x:xf>
    <x:xf numFmtId="0" fontId="3" fillId="2" borderId="2" xfId="0" applyNumberFormat="1" applyFont="1" applyFill="1" applyBorder="1" applyAlignment="1">
      <x:alignment horizontal="center" vertical="center"/>
    </x:xf>
    <x:xf numFmtId="0" fontId="3" fillId="2" borderId="3" xfId="0" applyNumberFormat="1" applyFont="1" applyFill="1" applyBorder="1" applyAlignment="1">
      <x:alignment horizontal="center" vertical="center"/>
    </x:xf>
    <x:xf numFmtId="0" fontId="3" fillId="2" borderId="4" xfId="0" applyNumberFormat="1" applyFont="1" applyFill="1" applyBorder="1" applyAlignment="1">
      <x:alignment horizontal="center" vertical="center"/>
    </x:xf>
    <x:xf numFmtId="0" fontId="0" fillId="0" borderId="5" xfId="0" applyNumberFormat="1" applyFont="1" applyFill="1" applyBorder="1" applyAlignment="1">
      <x:alignment vertical="center"/>
    </x:xf>
    <x:xf numFmtId="0" fontId="0" fillId="0" borderId="6" xfId="0" applyNumberFormat="1" applyFont="1" applyFill="1" applyBorder="1" applyAlignment="1">
      <x:alignment horizontal="center" vertical="center"/>
    </x:xf>
    <x:xf numFmtId="0" fontId="0" fillId="0" borderId="7" xfId="0" applyNumberFormat="1" applyFont="1" applyFill="1" applyBorder="1" applyAlignment="1">
      <x:alignment vertical="center"/>
    </x:xf>
    <x:xf numFmtId="0" fontId="0" fillId="0" borderId="8" xfId="0" applyNumberFormat="1" applyFont="1" applyFill="1" applyBorder="1" applyAlignment="1">
      <x:alignment vertical="center"/>
    </x:xf>
    <x:xf numFmtId="0" fontId="0" fillId="0" borderId="9" xfId="0" applyNumberFormat="1" applyFont="1" applyFill="1" applyBorder="1" applyAlignment="1">
      <x:alignment horizontal="center" vertical="center"/>
    </x:xf>
    <x:xf numFmtId="0" fontId="3" fillId="2" borderId="10" xfId="0" applyNumberFormat="1" applyFont="1" applyFill="1" applyBorder="1" applyAlignment="1">
      <x:alignment horizontal="center" vertical="center"/>
    </x:xf>
    <x:xf numFmtId="0" fontId="3" fillId="2" borderId="11" xfId="0" applyNumberFormat="1" applyFont="1" applyFill="1" applyBorder="1" applyAlignment="1">
      <x:alignment horizontal="center" vertical="center"/>
    </x:xf>
    <x:xf numFmtId="0" fontId="3" fillId="2" borderId="12" xfId="0" applyNumberFormat="1" applyFont="1" applyFill="1" applyBorder="1" applyAlignment="1">
      <x:alignment horizontal="center" vertical="center"/>
    </x:xf>
    <x:xf numFmtId="0" fontId="0" fillId="0" borderId="13" xfId="0" applyNumberFormat="1" applyFont="1" applyFill="1" applyBorder="1" applyAlignment="1">
      <x:alignment vertical="center"/>
    </x:xf>
    <x:xf numFmtId="0" fontId="0" fillId="0" borderId="14" xfId="0" applyNumberFormat="1" applyFont="1" applyFill="1" applyBorder="1" applyAlignment="1">
      <x:alignment horizontal="center" vertical="center"/>
    </x:xf>
    <x:xf numFmtId="0" fontId="0" fillId="0" borderId="15" xfId="0" applyNumberFormat="1" applyFont="1" applyFill="1" applyBorder="1" applyAlignment="1">
      <x:alignment vertical="center"/>
    </x:xf>
    <x:xf numFmtId="0" fontId="0" fillId="0" borderId="16" xfId="0" applyNumberFormat="1" applyFont="1" applyFill="1" applyBorder="1" applyAlignment="1">
      <x:alignment vertical="center"/>
    </x:xf>
    <x:xf numFmtId="0" fontId="0" fillId="0" borderId="17" xfId="0" applyNumberFormat="1" applyFont="1" applyFill="1" applyBorder="1" applyAlignment="1">
      <x:alignment horizontal="center" vertical="center"/>
    </x:xf>
    <x:xf numFmtId="200" fontId="0" fillId="0" borderId="0" xfId="0" applyNumberFormat="1" applyFont="1" applyFill="1" applyBorder="1" applyAlignment="1">
      <x:alignment horizontal="center" vertical="top" wrapText="1"/>
    </x:xf>
    <x:xf numFmtId="200" fontId="0" fillId="0" borderId="8" xfId="0" applyNumberFormat="1" applyFont="1" applyFill="1" applyBorder="1" applyAlignment="1">
      <x:alignment horizontal="center" vertical="top" wrapText="1"/>
    </x:xf>
    <x:xf numFmtId="200" fontId="0" fillId="0" borderId="1" xfId="0" applyNumberFormat="1" applyFont="1" applyFill="1" applyBorder="1" applyAlignment="1">
      <x:alignment horizontal="center" vertical="top" wrapText="1"/>
    </x:xf>
    <x:xf numFmtId="200" fontId="0" fillId="0" borderId="16" xfId="0" applyNumberFormat="1" applyFont="1" applyFill="1" applyBorder="1" applyAlignment="1">
      <x:alignment horizontal="center" vertical="top" wrapText="1"/>
    </x:xf>
    <x:xf numFmtId="200" fontId="0" fillId="0" borderId="6" xfId="0" applyNumberFormat="1" applyFont="1" applyFill="1" applyBorder="1" applyAlignment="1">
      <x:alignment horizontal="center" vertical="center"/>
    </x:xf>
    <x:xf numFmtId="200" fontId="0" fillId="0" borderId="9" xfId="0" applyNumberFormat="1" applyFont="1" applyFill="1" applyBorder="1" applyAlignment="1">
      <x:alignment horizontal="center"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145987d1f324d04" /><Relationship Type="http://schemas.openxmlformats.org/officeDocument/2006/relationships/theme" Target="/xl/theme/theme1.xml" Id="Raab2bb8b224442d8" /><Relationship Type="http://schemas.openxmlformats.org/officeDocument/2006/relationships/sharedStrings" Target="/xl/sharedStrings.xml" Id="Rc57684156baa4375" /><Relationship Type="http://schemas.openxmlformats.org/officeDocument/2006/relationships/worksheet" Target="/xl/worksheets/sheet1.xml" Id="R5ddcb09b2cdd48aa" /><Relationship Type="http://schemas.openxmlformats.org/officeDocument/2006/relationships/worksheet" Target="/xl/worksheets/sheet2.xml" Id="R252f6f39fdc641d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8" hidden="0" customWidth="1"/>
    <x:col min="2" max="2" width="15" hidden="0" customWidth="1"/>
    <x:col min="3" max="3" width="14" hidden="0" customWidth="1"/>
    <x:col min="4" max="4" width="13" hidden="0" customWidth="1"/>
    <x:col min="5" max="5" width="18" hidden="0" customWidth="1"/>
    <x:col min="6" max="6" width="18" hidden="0" customWidth="1"/>
    <x:col min="7" max="7" width="60" hidden="0" customWidth="1"/>
    <x:col min="8" max="8" width="42" hidden="0" customWidth="1"/>
  </x:cols>
  <x:sheetData>
    <x:row r="1" ht="26" customHeight="1">
      <x:c r="A1" s="5" t="str">
        <x:v>Problem Set 5 Preliminary Grading Audit</x:v>
      </x:c>
      <x:c r="B1" s="5"/>
      <x:c r="C1" s="5"/>
      <x:c r="D1" s="5"/>
      <x:c r="E1" s="5"/>
      <x:c r="F1" s="5"/>
      <x:c r="G1" s="5"/>
      <x:c r="H1" s="5"/>
    </x:row>
    <x:row r="2" ht="44" customHeight="1">
      <x:c r="A2" s="13" t="str">
        <x:v>Rubric: Completeness, bug-free execution, and meeting the stated exercise requirements are equally weighted. Preliminary grade = rounded mean of the three category scores. Student IDs were taken from prior verified submissions when available; 'Not found' indicates no verified ID was available.</x:v>
      </x:c>
      <x:c r="B2" s="13"/>
      <x:c r="C2" s="13"/>
      <x:c r="D2" s="13"/>
      <x:c r="E2" s="13"/>
      <x:c r="F2" s="13"/>
      <x:c r="G2" s="13"/>
      <x:c r="H2" s="13"/>
    </x:row>
    <x:row r="4" ht="28" customHeight="1">
      <x:c r="A4" s="32" t="str">
        <x:v>Last Name</x:v>
      </x:c>
      <x:c r="B4" s="33" t="str">
        <x:v>Student ID</x:v>
      </x:c>
      <x:c r="C4" s="33" t="str">
        <x:v>Completeness</x:v>
      </x:c>
      <x:c r="D4" s="33" t="str">
        <x:v>Bug-Free</x:v>
      </x:c>
      <x:c r="E4" s="33" t="str">
        <x:v>Meets Requirements</x:v>
      </x:c>
      <x:c r="F4" s="33" t="str">
        <x:v>Preliminary Grade</x:v>
      </x:c>
      <x:c r="G4" s="33" t="str">
        <x:v>Preliminary Notes</x:v>
      </x:c>
      <x:c r="H4" s="34" t="str">
        <x:v>Submission File</x:v>
      </x:c>
    </x:row>
    <x:row r="5" ht="66" customHeight="1">
      <x:c r="A5" s="35" t="str">
        <x:v>Aguayo</x:v>
      </x:c>
      <x:c r="B5" s="27" t="str">
        <x:v>Not found</x:v>
      </x:c>
      <x:c r="C5" s="74" t="n">
        <x:v>100</x:v>
      </x:c>
      <x:c r="D5" s="74" t="n">
        <x:v>100</x:v>
      </x:c>
      <x:c r="E5" s="74" t="n">
        <x:v>100</x:v>
      </x:c>
      <x:c r="F5" s="74" t="n">
        <x:f>ROUND(AVERAGE(C5:E5),0)</x:f>
        <x:v>100</x:v>
      </x:c>
      <x:c r="G5" s="27" t="str">
        <x:v>All three exercises are present in the requested Python file and execute cleanly. Dictionary creation/modification, all three case-insensitive search functions, all four interactive choices, and missing-contact handling are implemented correctly.</x:v>
      </x:c>
      <x:c r="H5" s="36" t="str">
        <x:v>phone_book.py</x:v>
      </x:c>
    </x:row>
    <x:row r="6" ht="66" customHeight="1">
      <x:c r="A6" s="35" t="str">
        <x:v>Catano</x:v>
      </x:c>
      <x:c r="B6" s="27" t="str">
        <x:v>Not found</x:v>
      </x:c>
      <x:c r="C6" s="74" t="n">
        <x:v>100</x:v>
      </x:c>
      <x:c r="D6" s="74" t="n">
        <x:v>100</x:v>
      </x:c>
      <x:c r="E6" s="74" t="n">
        <x:v>95</x:v>
      </x:c>
      <x:c r="F6" s="74" t="n">
        <x:f>ROUND(AVERAGE(C6:E6),0)</x:f>
        <x:v>98</x:v>
      </x:c>
      <x:c r="G6" s="27" t="str">
        <x:v>The program is complete and executes cleanly. Dictionary operations, case-insensitive search functions, all four interactive choices, and missing-contact handling are correct. The only deduction is that the submitted file is named phonebook.py rather than the requested phone_book.py.</x:v>
      </x:c>
      <x:c r="H6" s="36" t="str">
        <x:v>phonebook.py</x:v>
      </x:c>
    </x:row>
    <x:row r="7" ht="66" customHeight="1">
      <x:c r="A7" s="35" t="str">
        <x:v>Dong</x:v>
      </x:c>
      <x:c r="B7" s="27" t="str">
        <x:v>Not found</x:v>
      </x:c>
      <x:c r="C7" s="74" t="n">
        <x:v>85</x:v>
      </x:c>
      <x:c r="D7" s="74" t="n">
        <x:v>100</x:v>
      </x:c>
      <x:c r="E7" s="74" t="n">
        <x:v>75</x:v>
      </x:c>
      <x:c r="F7" s="74" t="n">
        <x:f>ROUND(AVERAGE(C7:E7),0)</x:f>
        <x:v>87</x:v>
      </x:c>
      <x:c r="G7" s="27" t="str">
        <x:v>The search functions are correct and the interactive program works. Exercise 1 omits the required dictionary length, prints the second key rather than the value associated with 562-555-0188, and omits the required .get() lookup for 562-555-0194. For choices 1-3 the program prints the entire matches list instead of printing each phone number with a for loop. The submitted Python filename also differs from phone_book.py.</x:v>
      </x:c>
      <x:c r="H7" s="36" t="str">
        <x:v>bao_phone_book.py + Bao_phone_book.ipynb</x:v>
      </x:c>
    </x:row>
    <x:row r="8" ht="66" customHeight="1">
      <x:c r="A8" s="35" t="str">
        <x:v>Garcia</x:v>
      </x:c>
      <x:c r="B8" s="27" t="str">
        <x:v>20689943</x:v>
      </x:c>
      <x:c r="C8" s="74" t="n">
        <x:v>100</x:v>
      </x:c>
      <x:c r="D8" s="74" t="n">
        <x:v>100</x:v>
      </x:c>
      <x:c r="E8" s="74" t="n">
        <x:v>100</x:v>
      </x:c>
      <x:c r="F8" s="74" t="n">
        <x:f>ROUND(AVERAGE(C8:E8),0)</x:f>
        <x:v>100</x:v>
      </x:c>
      <x:c r="G8" s="27" t="str">
        <x:v>The submitted phone_book.py contains all required dictionary operations, all three case-insensitive search functions, and the complete interactive search. It executes cleanly and handles both successful and unsuccessful searches correctly.</x:v>
      </x:c>
      <x:c r="H8" s="36" t="str">
        <x:v>phone_book.py</x:v>
      </x:c>
    </x:row>
    <x:row r="9" ht="66" customHeight="1">
      <x:c r="A9" s="35" t="str">
        <x:v>Guerrero</x:v>
      </x:c>
      <x:c r="B9" s="27" t="str">
        <x:v>20701493</x:v>
      </x:c>
      <x:c r="C9" s="74" t="n">
        <x:v>90</x:v>
      </x:c>
      <x:c r="D9" s="74" t="n">
        <x:v>100</x:v>
      </x:c>
      <x:c r="E9" s="74" t="n">
        <x:v>80</x:v>
      </x:c>
      <x:c r="F9" s="74" t="n">
        <x:f>ROUND(AVERAGE(C9:E9),0)</x:f>
        <x:v>90</x:v>
      </x:c>
      <x:c r="G9" s="27" t="str">
        <x:v>The search functions and interactive program are complete and execute cleanly. Exercise 1 omits the required .get() lookup for 562-555-0194 and leaves Marcus as Johnson rather than changing the value to Johnston. The submission is an .ipynb notebook rather than the requested phone_book.py file.</x:v>
      </x:c>
      <x:c r="H9" s="36" t="str">
        <x:v>Problem_set_5_Maggy_Guerrero,_20701493.ipynb</x:v>
      </x:c>
    </x:row>
    <x:row r="10" ht="66" customHeight="1">
      <x:c r="A10" s="35" t="str">
        <x:v>Hamilton</x:v>
      </x:c>
      <x:c r="B10" s="27" t="str">
        <x:v>20672759</x:v>
      </x:c>
      <x:c r="C10" s="74" t="n">
        <x:v>100</x:v>
      </x:c>
      <x:c r="D10" s="74" t="n">
        <x:v>100</x:v>
      </x:c>
      <x:c r="E10" s="74" t="n">
        <x:v>95</x:v>
      </x:c>
      <x:c r="F10" s="74" t="n">
        <x:f>ROUND(AVERAGE(C10:E10),0)</x:f>
        <x:v>98</x:v>
      </x:c>
      <x:c r="G10" s="27" t="str">
        <x:v>The program is complete and executes cleanly with the required dictionary modifications, three search functions, four interactive search modes, and missing-contact handling. The only deduction is the submitted filename phone_book_py.py rather than phone_book.py.</x:v>
      </x:c>
      <x:c r="H10" s="36" t="str">
        <x:v>phone_book_py.py</x:v>
      </x:c>
    </x:row>
    <x:row r="11" ht="66" customHeight="1">
      <x:c r="A11" s="35" t="str">
        <x:v>Harrison</x:v>
      </x:c>
      <x:c r="B11" s="27" t="str">
        <x:v>Not found</x:v>
      </x:c>
      <x:c r="C11" s="74" t="n">
        <x:v>90</x:v>
      </x:c>
      <x:c r="D11" s="74" t="n">
        <x:v>90</x:v>
      </x:c>
      <x:c r="E11" s="74" t="n">
        <x:v>75</x:v>
      </x:c>
      <x:c r="F11" s="74" t="n">
        <x:f>ROUND(AVERAGE(C11:E11),0)</x:f>
        <x:v>85</x:v>
      </x:c>
      <x:c r="G11" s="27" t="str">
        <x:v>The interactive search is functional and uses separate case-insensitive helper functions. However, Exercise 1 starts with Sofia already added and Marcus already changed rather than demonstrating those modifications; the required indexing/.get()/keys()/values() expressions are not printed in the .py file. The required find_first/find_last/find_name functions are case-sensitive rather than using .lower(). The filename also differs from phone_book.py.</x:v>
      </x:c>
      <x:c r="H11" s="36" t="str">
        <x:v>phone_book (1).py</x:v>
      </x:c>
    </x:row>
    <x:row r="12" ht="66" customHeight="1">
      <x:c r="A12" s="35" t="str">
        <x:v>Lam</x:v>
      </x:c>
      <x:c r="B12" s="27" t="str">
        <x:v>20693757</x:v>
      </x:c>
      <x:c r="C12" s="74" t="n">
        <x:v>100</x:v>
      </x:c>
      <x:c r="D12" s="74" t="n">
        <x:v>100</x:v>
      </x:c>
      <x:c r="E12" s="74" t="n">
        <x:v>85</x:v>
      </x:c>
      <x:c r="F12" s="74" t="n">
        <x:f>ROUND(AVERAGE(C12:E12),0)</x:f>
        <x:v>95</x:v>
      </x:c>
      <x:c r="G12" s="27" t="str">
        <x:v>All dictionary operations, search functions, and interactive search requirements are implemented correctly and execute cleanly. The main deduction is that the submission is an .ipynb notebook rather than the requested phone_book.py file.</x:v>
      </x:c>
      <x:c r="H12" s="36" t="str">
        <x:v>Aleck Lam 20693757 Problem Set 5.ipynb</x:v>
      </x:c>
    </x:row>
    <x:row r="13" ht="66" customHeight="1">
      <x:c r="A13" s="35" t="str">
        <x:v>Locashio</x:v>
      </x:c>
      <x:c r="B13" s="27" t="str">
        <x:v>20693381</x:v>
      </x:c>
      <x:c r="C13" s="74" t="n">
        <x:v>35</x:v>
      </x:c>
      <x:c r="D13" s="74" t="n">
        <x:v>100</x:v>
      </x:c>
      <x:c r="E13" s="74" t="n">
        <x:v>30</x:v>
      </x:c>
      <x:c r="F13" s="74" t="n">
        <x:f>ROUND(AVERAGE(C13:E13),0)</x:f>
        <x:v>55</x:v>
      </x:c>
      <x:c r="G13" s="27" t="str">
        <x:v>Exercise 1 includes the assigned dictionary, lookup operations, Sofia addition, Marcus correction, and Daniel deletion. However, phone_book.keys() and phone_book.values() are bare expressions rather than printed output in the submitted .py file, and Exercises 2 and 3 are entirely missing: there are no search functions or interactive phone-book program.</x:v>
      </x:c>
      <x:c r="H13" s="36" t="str">
        <x:v>phone_book.py</x:v>
      </x:c>
    </x:row>
    <x:row r="14" ht="66" customHeight="1">
      <x:c r="A14" s="35" t="str">
        <x:v>Martinez-Amaro</x:v>
      </x:c>
      <x:c r="B14" s="27" t="str">
        <x:v>20698625</x:v>
      </x:c>
      <x:c r="C14" s="74" t="n">
        <x:v>100</x:v>
      </x:c>
      <x:c r="D14" s="74" t="n">
        <x:v>100</x:v>
      </x:c>
      <x:c r="E14" s="74" t="n">
        <x:v>85</x:v>
      </x:c>
      <x:c r="F14" s="74" t="n">
        <x:f>ROUND(AVERAGE(C14:E14),0)</x:f>
        <x:v>95</x:v>
      </x:c>
      <x:c r="G14" s="27" t="str">
        <x:v>All three exercises are complete and the code is correct: dictionary operations, case-insensitive search functions, interactive choices, and missing-contact handling all work. The main deduction is submission as a notebook rather than the requested phone_book.py file.</x:v>
      </x:c>
      <x:c r="H14" s="36" t="str">
        <x:v>20698625_HectorMartinez.ipynb</x:v>
      </x:c>
    </x:row>
    <x:row r="15" ht="66" customHeight="1">
      <x:c r="A15" s="35" t="str">
        <x:v>Moore</x:v>
      </x:c>
      <x:c r="B15" s="27" t="str">
        <x:v>20694059</x:v>
      </x:c>
      <x:c r="C15" s="74" t="n">
        <x:v>100</x:v>
      </x:c>
      <x:c r="D15" s="74" t="n">
        <x:v>67</x:v>
      </x:c>
      <x:c r="E15" s="74" t="n">
        <x:v>80</x:v>
      </x:c>
      <x:c r="F15" s="74" t="n">
        <x:f>ROUND(AVERAGE(C15:E15),0)</x:f>
        <x:v>82</x:v>
      </x:c>
      <x:c r="G15" s="27" t="str">
        <x:v>The visible solution contains all required dictionary operations, search functions, and interactive search logic. However, the notebook begins with import phone_book and no phone_book module was submitted, so a clean run fails immediately with ModuleNotFoundError. The work is also submitted as an .ipynb rather than the requested phone_book.py file.</x:v>
      </x:c>
      <x:c r="H15" s="36" t="str">
        <x:v>20694059_Meadow_Moore_Problem_Set_5_.ipynb</x:v>
      </x:c>
    </x:row>
    <x:row r="16" ht="66" customHeight="1">
      <x:c r="A16" s="35" t="str">
        <x:v>Nishikawa</x:v>
      </x:c>
      <x:c r="B16" s="27" t="str">
        <x:v>20697206</x:v>
      </x:c>
      <x:c r="C16" s="74" t="n">
        <x:v>100</x:v>
      </x:c>
      <x:c r="D16" s="74" t="n">
        <x:v>100</x:v>
      </x:c>
      <x:c r="E16" s="74" t="n">
        <x:v>100</x:v>
      </x:c>
      <x:c r="F16" s="74" t="n">
        <x:f>ROUND(AVERAGE(C16:E16),0)</x:f>
        <x:v>100</x:v>
      </x:c>
      <x:c r="G16" s="27" t="str">
        <x:v>The submitted phone_book.py is complete and executes cleanly. It performs all required dictionary operations, implements all three case-insensitive search functions, and correctly handles all four interactive search choices and no-match cases.</x:v>
      </x:c>
      <x:c r="H16" s="36" t="str">
        <x:v>phone_book.py</x:v>
      </x:c>
    </x:row>
    <x:row r="17" ht="66" customHeight="1">
      <x:c r="A17" s="35" t="str">
        <x:v>Ögren</x:v>
      </x:c>
      <x:c r="B17" s="27" t="str">
        <x:v>20674779</x:v>
      </x:c>
      <x:c r="C17" s="74" t="n">
        <x:v>100</x:v>
      </x:c>
      <x:c r="D17" s="74" t="n">
        <x:v>100</x:v>
      </x:c>
      <x:c r="E17" s="74" t="n">
        <x:v>100</x:v>
      </x:c>
      <x:c r="F17" s="74" t="n">
        <x:f>ROUND(AVERAGE(C17:E17),0)</x:f>
        <x:v>100</x:v>
      </x:c>
      <x:c r="G17" s="27" t="str">
        <x:v>The submitted phone_book.py is complete and executes cleanly. It implements the required dictionary changes, case-insensitive search functions, interactive menu, per-phone output for matches, and missing-contact handling.</x:v>
      </x:c>
      <x:c r="H17" s="36" t="str">
        <x:v>phone_book.py</x:v>
      </x:c>
    </x:row>
    <x:row r="18" ht="66" customHeight="1">
      <x:c r="A18" s="35" t="str">
        <x:v>Prola</x:v>
      </x:c>
      <x:c r="B18" s="27" t="str">
        <x:v>20700028</x:v>
      </x:c>
      <x:c r="C18" s="74" t="n">
        <x:v>100</x:v>
      </x:c>
      <x:c r="D18" s="74" t="n">
        <x:v>100</x:v>
      </x:c>
      <x:c r="E18" s="74" t="n">
        <x:v>100</x:v>
      </x:c>
      <x:c r="F18" s="74" t="n">
        <x:f>ROUND(AVERAGE(C18:E18),0)</x:f>
        <x:v>100</x:v>
      </x:c>
      <x:c r="G18" s="27" t="str">
        <x:v>The notebook explicitly writes the requested phone_book.py file, implements all required dictionary operations and case-insensitive search functions, and includes the complete interactive search plus command-line tests for the assigned cases. The generated program is correct.</x:v>
      </x:c>
      <x:c r="H18" s="36" t="str">
        <x:v>Problemset_5_Christian_Prola_ID_20700028.ipynb</x:v>
      </x:c>
    </x:row>
    <x:row r="19" ht="66" customHeight="1">
      <x:c r="A19" s="35" t="str">
        <x:v>Villarruel</x:v>
      </x:c>
      <x:c r="B19" s="27" t="str">
        <x:v>20694193</x:v>
      </x:c>
      <x:c r="C19" s="74" t="n">
        <x:v>100</x:v>
      </x:c>
      <x:c r="D19" s="74" t="n">
        <x:v>100</x:v>
      </x:c>
      <x:c r="E19" s="74" t="n">
        <x:v>85</x:v>
      </x:c>
      <x:c r="F19" s="74" t="n">
        <x:f>ROUND(AVERAGE(C19:E19),0)</x:f>
        <x:v>95</x:v>
      </x:c>
      <x:c r="G19" s="27" t="str">
        <x:v>All three exercises are implemented correctly and the notebook code executes cleanly, including case-insensitive search functions and all four interactive choices. The main deduction is submission as an .ipynb notebook rather than the requested phone_book.py file.</x:v>
      </x:c>
      <x:c r="H19" s="36" t="str">
        <x:v>phone_book_20694193_Sarah_Villarruel.ipynb</x:v>
      </x:c>
    </x:row>
    <x:row r="20" ht="66" customHeight="1">
      <x:c r="A20" s="37" t="str">
        <x:v>Viramontes</x:v>
      </x:c>
      <x:c r="B20" s="38" t="str">
        <x:v>20694811</x:v>
      </x:c>
      <x:c r="C20" s="75" t="n">
        <x:v>95</x:v>
      </x:c>
      <x:c r="D20" s="75" t="n">
        <x:v>100</x:v>
      </x:c>
      <x:c r="E20" s="75" t="n">
        <x:v>90</x:v>
      </x:c>
      <x:c r="F20" s="75" t="n">
        <x:f>ROUND(AVERAGE(C20:E20),0)</x:f>
        <x:v>95</x:v>
      </x:c>
      <x:c r="G20" s="38" t="str">
        <x:v>The search functions and interactive program are complete and execute cleanly. Exercise 1 fails to change Marcus's last name from Johnson to Johnston, and the submitted filename is phone_book_py.py rather than the requested phone_book.py.</x:v>
      </x:c>
      <x:c r="H20" s="40" t="str">
        <x:v>phone_book_py.py</x:v>
      </x:c>
    </x:row>
  </x:sheetData>
  <x:mergeCells>
    <x:mergeCell ref="A1:H1"/>
    <x:mergeCell ref="A2:H2"/>
  </x:mergeCells>
  <x:conditionalFormatting sqref="F5:F20">
    <x:cfRule type="colorScale" priority="1">
      <x:colorScale>
        <x:cfvo type="min"/>
        <x:cfvo type="percentile" val="50"/>
        <x:cfvo type="max"/>
        <x:color rgb="FFF4CCCC"/>
        <x:color rgb="FFFFF2CC"/>
        <x:color rgb="FFD9EAD3"/>
      </x:colorScale>
    </x:cfRule>
  </x:conditionalFormatting>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0" hidden="0" customWidth="1"/>
    <x:col min="2" max="2" width="15" hidden="0" customWidth="1"/>
    <x:col min="3" max="3" width="18" hidden="0" customWidth="1"/>
  </x:cols>
  <x:sheetData>
    <x:row r="1" ht="24" customHeight="1">
      <x:c r="A1" s="58" t="str">
        <x:v>Last Name</x:v>
      </x:c>
      <x:c r="B1" s="59" t="str">
        <x:v>Student ID</x:v>
      </x:c>
      <x:c r="C1" s="60" t="str">
        <x:v>Preliminary Grade</x:v>
      </x:c>
    </x:row>
    <x:row r="2">
      <x:c r="A2" s="61" t="str">
        <x:v>Aguayo</x:v>
      </x:c>
      <x:c r="B2" s="54" t="str">
        <x:v>Not found</x:v>
      </x:c>
      <x:c r="C2" s="78" t="n">
        <x:f>'Grading Audit'!F5</x:f>
        <x:v>100</x:v>
      </x:c>
    </x:row>
    <x:row r="3">
      <x:c r="A3" s="61" t="str">
        <x:v>Catano</x:v>
      </x:c>
      <x:c r="B3" s="54" t="str">
        <x:v>Not found</x:v>
      </x:c>
      <x:c r="C3" s="78" t="n">
        <x:f>'Grading Audit'!F6</x:f>
        <x:v>98</x:v>
      </x:c>
    </x:row>
    <x:row r="4">
      <x:c r="A4" s="61" t="str">
        <x:v>Dong</x:v>
      </x:c>
      <x:c r="B4" s="54" t="str">
        <x:v>Not found</x:v>
      </x:c>
      <x:c r="C4" s="78" t="n">
        <x:f>'Grading Audit'!F7</x:f>
        <x:v>87</x:v>
      </x:c>
    </x:row>
    <x:row r="5">
      <x:c r="A5" s="61" t="str">
        <x:v>Garcia</x:v>
      </x:c>
      <x:c r="B5" s="54" t="str">
        <x:v>20689943</x:v>
      </x:c>
      <x:c r="C5" s="78" t="n">
        <x:f>'Grading Audit'!F8</x:f>
        <x:v>100</x:v>
      </x:c>
    </x:row>
    <x:row r="6">
      <x:c r="A6" s="61" t="str">
        <x:v>Guerrero</x:v>
      </x:c>
      <x:c r="B6" s="54" t="str">
        <x:v>20701493</x:v>
      </x:c>
      <x:c r="C6" s="78" t="n">
        <x:f>'Grading Audit'!F9</x:f>
        <x:v>90</x:v>
      </x:c>
    </x:row>
    <x:row r="7">
      <x:c r="A7" s="61" t="str">
        <x:v>Hamilton</x:v>
      </x:c>
      <x:c r="B7" s="54" t="str">
        <x:v>20672759</x:v>
      </x:c>
      <x:c r="C7" s="78" t="n">
        <x:f>'Grading Audit'!F10</x:f>
        <x:v>98</x:v>
      </x:c>
    </x:row>
    <x:row r="8">
      <x:c r="A8" s="61" t="str">
        <x:v>Harrison</x:v>
      </x:c>
      <x:c r="B8" s="54" t="str">
        <x:v>Not found</x:v>
      </x:c>
      <x:c r="C8" s="78" t="n">
        <x:f>'Grading Audit'!F11</x:f>
        <x:v>85</x:v>
      </x:c>
    </x:row>
    <x:row r="9">
      <x:c r="A9" s="61" t="str">
        <x:v>Lam</x:v>
      </x:c>
      <x:c r="B9" s="54" t="str">
        <x:v>20693757</x:v>
      </x:c>
      <x:c r="C9" s="78" t="n">
        <x:f>'Grading Audit'!F12</x:f>
        <x:v>95</x:v>
      </x:c>
    </x:row>
    <x:row r="10">
      <x:c r="A10" s="61" t="str">
        <x:v>Locashio</x:v>
      </x:c>
      <x:c r="B10" s="54" t="str">
        <x:v>20693381</x:v>
      </x:c>
      <x:c r="C10" s="78" t="n">
        <x:f>'Grading Audit'!F13</x:f>
        <x:v>55</x:v>
      </x:c>
    </x:row>
    <x:row r="11">
      <x:c r="A11" s="61" t="str">
        <x:v>Martinez-Amaro</x:v>
      </x:c>
      <x:c r="B11" s="54" t="str">
        <x:v>20698625</x:v>
      </x:c>
      <x:c r="C11" s="78" t="n">
        <x:f>'Grading Audit'!F14</x:f>
        <x:v>95</x:v>
      </x:c>
    </x:row>
    <x:row r="12">
      <x:c r="A12" s="61" t="str">
        <x:v>Moore</x:v>
      </x:c>
      <x:c r="B12" s="54" t="str">
        <x:v>20694059</x:v>
      </x:c>
      <x:c r="C12" s="78" t="n">
        <x:f>'Grading Audit'!F15</x:f>
        <x:v>82</x:v>
      </x:c>
    </x:row>
    <x:row r="13">
      <x:c r="A13" s="61" t="str">
        <x:v>Nishikawa</x:v>
      </x:c>
      <x:c r="B13" s="54" t="str">
        <x:v>20697206</x:v>
      </x:c>
      <x:c r="C13" s="78" t="n">
        <x:f>'Grading Audit'!F16</x:f>
        <x:v>100</x:v>
      </x:c>
    </x:row>
    <x:row r="14">
      <x:c r="A14" s="61" t="str">
        <x:v>Ögren</x:v>
      </x:c>
      <x:c r="B14" s="54" t="str">
        <x:v>20674779</x:v>
      </x:c>
      <x:c r="C14" s="78" t="n">
        <x:f>'Grading Audit'!F17</x:f>
        <x:v>100</x:v>
      </x:c>
    </x:row>
    <x:row r="15">
      <x:c r="A15" s="61" t="str">
        <x:v>Prola</x:v>
      </x:c>
      <x:c r="B15" s="54" t="str">
        <x:v>20700028</x:v>
      </x:c>
      <x:c r="C15" s="78" t="n">
        <x:f>'Grading Audit'!F18</x:f>
        <x:v>100</x:v>
      </x:c>
    </x:row>
    <x:row r="16">
      <x:c r="A16" s="61" t="str">
        <x:v>Villarruel</x:v>
      </x:c>
      <x:c r="B16" s="54" t="str">
        <x:v>20694193</x:v>
      </x:c>
      <x:c r="C16" s="78" t="n">
        <x:f>'Grading Audit'!F19</x:f>
        <x:v>95</x:v>
      </x:c>
    </x:row>
    <x:row r="17">
      <x:c r="A17" s="63" t="str">
        <x:v>Viramontes</x:v>
      </x:c>
      <x:c r="B17" s="64" t="str">
        <x:v>20694811</x:v>
      </x:c>
      <x:c r="C17" s="79" t="n">
        <x:f>'Grading Audit'!F20</x:f>
        <x:v>95</x:v>
      </x:c>
    </x:row>
  </x:sheetData>
  <x:conditionalFormatting sqref="C2:C17">
    <x:cfRule type="colorScale" priority="1">
      <x:colorScale>
        <x:cfvo type="min"/>
        <x:cfvo type="percentile" val="50"/>
        <x:cfvo type="max"/>
        <x:color rgb="FFF4CCCC"/>
        <x:color rgb="FFFFF2CC"/>
        <x:color rgb="FFD9EAD3"/>
      </x:colorScale>
    </x:cfRule>
  </x:conditionalFormatting>
  <x:pageMargins left="0.7" right="0.7" top="0.75" bottom="0.75" header="0.3" footer="0.3"/>
</x:worksheet>
</file>