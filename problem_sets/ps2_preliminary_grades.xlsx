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23e613259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liminary Grades" sheetId="1" r:id="Rb23cfe5a9af54c02"/>
    <x:sheet xmlns:r="http://schemas.openxmlformats.org/officeDocument/2006/relationships" name="Grading Audit" sheetId="2" r:id="R3f138865b47e44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840552ced41ef" /><Relationship Type="http://schemas.openxmlformats.org/officeDocument/2006/relationships/theme" Target="/xl/theme/theme1.xml" Id="Re40557931ae94a25" /><Relationship Type="http://schemas.openxmlformats.org/officeDocument/2006/relationships/sharedStrings" Target="/xl/sharedStrings.xml" Id="Rc9c50348cb77484f" /><Relationship Type="http://schemas.openxmlformats.org/officeDocument/2006/relationships/worksheet" Target="/xl/worksheets/sheet1.xml" Id="Rb23cfe5a9af54c02" /><Relationship Type="http://schemas.openxmlformats.org/officeDocument/2006/relationships/worksheet" Target="/xl/worksheets/sheet2.xml" Id="R3f138865b47e44b8" /></Relationships>
</file>

<file path=xl/tables/table1.xml><?xml version="1.0" encoding="utf-8"?>
<x:table xmlns:x="http://schemas.openxmlformats.org/spreadsheetml/2006/main" id="1" name="PS2PreliminaryGradesTable" displayName="PS2PreliminaryGradesTable" ref="A1:C21" headerRowCount="1" totalsRowCount="0" totalsRowShown="0">
  <x:tableColumns count="3">
    <x:tableColumn id="1" name="Last Name"/>
    <x:tableColumn id="2" name="Student ID"/>
    <x:tableColumn id="3" name="Preliminary Gra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S2GradingAuditTable" displayName="PS2GradingAuditTable" ref="A4:H24" headerRowCount="1" totalsRowCount="0" totalsRowShown="0">
  <x:tableColumns count="8">
    <x:tableColumn id="1" name="Last Name"/>
    <x:tableColumn id="2" name="Student ID"/>
    <x:tableColumn id="3" name="Completeness"/>
    <x:tableColumn id="4" name="Bug-Free"/>
    <x:tableColumn id="5" name="Meets Requirements"/>
    <x:tableColumn id="6" name="Preliminary Grade"/>
    <x:tableColumn id="7" name="Preliminary Notes"/>
    <x:tableColumn id="8" name="Submission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34c0f49bd641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443fd2d18a483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0" hidden="0" customWidth="1"/>
  </x:cols>
  <x:sheetData>
    <x:row r="1">
      <x:c r="A1" s="5" t="str">
        <x:v>Last Name</x:v>
      </x:c>
      <x:c r="B1" s="5" t="str">
        <x:v>Student ID</x:v>
      </x:c>
      <x:c r="C1" s="5" t="str">
        <x:v>Preliminary Grade</x:v>
      </x:c>
    </x:row>
    <x:row r="2">
      <x:c r="A2" t="str">
        <x:v>Aguayo</x:v>
      </x:c>
      <x:c r="B2" t="str">
        <x:v>Not found</x:v>
      </x:c>
      <x:c r="C2" s="10" t="n">
        <x:f>'Grading Audit'!F5</x:f>
        <x:v>93</x:v>
      </x:c>
    </x:row>
    <x:row r="3">
      <x:c r="A3" t="str">
        <x:v>Dong</x:v>
      </x:c>
      <x:c r="B3" t="str">
        <x:v>Not found</x:v>
      </x:c>
      <x:c r="C3" s="10" t="n">
        <x:f>'Grading Audit'!F6</x:f>
        <x:v>100</x:v>
      </x:c>
    </x:row>
    <x:row r="4">
      <x:c r="A4" t="str">
        <x:v>Garcia</x:v>
      </x:c>
      <x:c r="B4" t="str">
        <x:v>20689943</x:v>
      </x:c>
      <x:c r="C4" s="10" t="n">
        <x:f>'Grading Audit'!F7</x:f>
        <x:v>100</x:v>
      </x:c>
    </x:row>
    <x:row r="5">
      <x:c r="A5" t="str">
        <x:v>Guerrero</x:v>
      </x:c>
      <x:c r="B5" t="str">
        <x:v>20701493</x:v>
      </x:c>
      <x:c r="C5" s="10" t="n">
        <x:f>'Grading Audit'!F8</x:f>
        <x:v>94</x:v>
      </x:c>
    </x:row>
    <x:row r="6">
      <x:c r="A6" t="str">
        <x:v>Hamilton</x:v>
      </x:c>
      <x:c r="B6" t="str">
        <x:v>20672759</x:v>
      </x:c>
      <x:c r="C6" s="10" t="n">
        <x:f>'Grading Audit'!F9</x:f>
        <x:v>98</x:v>
      </x:c>
    </x:row>
    <x:row r="7">
      <x:c r="A7" t="str">
        <x:v>Harrison</x:v>
      </x:c>
      <x:c r="B7" t="str">
        <x:v>Not found</x:v>
      </x:c>
      <x:c r="C7" s="10" t="n">
        <x:f>'Grading Audit'!F10</x:f>
        <x:v>80</x:v>
      </x:c>
    </x:row>
    <x:row r="8">
      <x:c r="A8" t="str">
        <x:v>Lam</x:v>
      </x:c>
      <x:c r="B8" t="str">
        <x:v>20693757</x:v>
      </x:c>
      <x:c r="C8" s="10" t="n">
        <x:f>'Grading Audit'!F11</x:f>
        <x:v>97</x:v>
      </x:c>
    </x:row>
    <x:row r="9">
      <x:c r="A9" t="str">
        <x:v>Martinez-Amaro</x:v>
      </x:c>
      <x:c r="B9" t="str">
        <x:v>20698625</x:v>
      </x:c>
      <x:c r="C9" s="10" t="n">
        <x:f>'Grading Audit'!F12</x:f>
        <x:v>80</x:v>
      </x:c>
    </x:row>
    <x:row r="10">
      <x:c r="A10" t="str">
        <x:v>Moore</x:v>
      </x:c>
      <x:c r="B10" t="str">
        <x:v>20694059</x:v>
      </x:c>
      <x:c r="C10" s="10" t="n">
        <x:f>'Grading Audit'!F13</x:f>
        <x:v>65</x:v>
      </x:c>
    </x:row>
    <x:row r="11">
      <x:c r="A11" t="str">
        <x:v>Needles</x:v>
      </x:c>
      <x:c r="B11" t="str">
        <x:v>20686013</x:v>
      </x:c>
      <x:c r="C11" s="10" t="n">
        <x:f>'Grading Audit'!F14</x:f>
        <x:v>91</x:v>
      </x:c>
    </x:row>
    <x:row r="12">
      <x:c r="A12" t="str">
        <x:v>Nguyen</x:v>
      </x:c>
      <x:c r="B12" t="str">
        <x:v>20695448</x:v>
      </x:c>
      <x:c r="C12" s="10" t="n">
        <x:f>'Grading Audit'!F15</x:f>
        <x:v>70</x:v>
      </x:c>
    </x:row>
    <x:row r="13">
      <x:c r="A13" t="str">
        <x:v>Nishikawa</x:v>
      </x:c>
      <x:c r="B13" t="str">
        <x:v>20697206</x:v>
      </x:c>
      <x:c r="C13" s="10" t="n">
        <x:f>'Grading Audit'!F16</x:f>
        <x:v>85</x:v>
      </x:c>
    </x:row>
    <x:row r="14">
      <x:c r="A14" t="str">
        <x:v>Ögren</x:v>
      </x:c>
      <x:c r="B14" t="str">
        <x:v>20674779</x:v>
      </x:c>
      <x:c r="C14" s="10" t="n">
        <x:f>'Grading Audit'!F17</x:f>
        <x:v>90</x:v>
      </x:c>
    </x:row>
    <x:row r="15">
      <x:c r="A15" t="str">
        <x:v>Orduno-Chavez</x:v>
      </x:c>
      <x:c r="B15" t="str">
        <x:v>Not found</x:v>
      </x:c>
      <x:c r="C15" s="10" t="n">
        <x:f>'Grading Audit'!F18</x:f>
        <x:v>0</x:v>
      </x:c>
    </x:row>
    <x:row r="16">
      <x:c r="A16" t="str">
        <x:v>Poindexter</x:v>
      </x:c>
      <x:c r="B16" t="str">
        <x:v>20701040</x:v>
      </x:c>
      <x:c r="C16" s="10" t="n">
        <x:f>'Grading Audit'!F19</x:f>
        <x:v>87</x:v>
      </x:c>
    </x:row>
    <x:row r="17">
      <x:c r="A17" t="str">
        <x:v>Prola</x:v>
      </x:c>
      <x:c r="B17" t="str">
        <x:v>20700028</x:v>
      </x:c>
      <x:c r="C17" s="10" t="n">
        <x:f>'Grading Audit'!F20</x:f>
        <x:v>100</x:v>
      </x:c>
    </x:row>
    <x:row r="18">
      <x:c r="A18" t="str">
        <x:v>Rivera</x:v>
      </x:c>
      <x:c r="B18" t="str">
        <x:v>20698645</x:v>
      </x:c>
      <x:c r="C18" s="10" t="n">
        <x:f>'Grading Audit'!F21</x:f>
        <x:v>100</x:v>
      </x:c>
    </x:row>
    <x:row r="19">
      <x:c r="A19" t="str">
        <x:v>Tran</x:v>
      </x:c>
      <x:c r="B19" t="str">
        <x:v>20684551</x:v>
      </x:c>
      <x:c r="C19" s="10" t="n">
        <x:f>'Grading Audit'!F22</x:f>
        <x:v>98</x:v>
      </x:c>
    </x:row>
    <x:row r="20">
      <x:c r="A20" t="str">
        <x:v>Villarruel</x:v>
      </x:c>
      <x:c r="B20" t="str">
        <x:v>20694193</x:v>
      </x:c>
      <x:c r="C20" s="10" t="n">
        <x:f>'Grading Audit'!F23</x:f>
        <x:v>97</x:v>
      </x:c>
    </x:row>
    <x:row r="21">
      <x:c r="A21" t="str">
        <x:v>Viramontes</x:v>
      </x:c>
      <x:c r="B21" t="str">
        <x:v>20694811</x:v>
      </x:c>
      <x:c r="C21" s="10" t="n">
        <x:f>'Grading Audit'!F24</x:f>
        <x:v>92</x:v>
      </x:c>
    </x:row>
  </x:sheetData>
  <x:conditionalFormatting sqref="C2:C2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734c0f49bd641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58" hidden="0" customWidth="1"/>
    <x:col min="8" max="8" width="42" hidden="0" customWidth="1"/>
  </x:cols>
  <x:sheetData>
    <x:row r="1">
      <x:c r="A1" s="14" t="str">
        <x:v>Problem Set 2 Preliminary Grading Audit</x:v>
      </x:c>
    </x:row>
    <x:row r="2">
      <x:c r="A2" s="18" t="str">
        <x:v>Rubric: Completeness, bug-free execution, and meeting the stated exercise requirements are equally weighted. Preliminary grade = rounded mean of the three category scores.</x:v>
      </x:c>
    </x:row>
    <x:row r="4">
      <x:c r="A4" s="30" t="str">
        <x:v>Last Name</x:v>
      </x:c>
      <x:c r="B4" s="30" t="str">
        <x:v>Student ID</x:v>
      </x:c>
      <x:c r="C4" s="30" t="str">
        <x:v>Completeness</x:v>
      </x:c>
      <x:c r="D4" s="30" t="str">
        <x:v>Bug-Free</x:v>
      </x:c>
      <x:c r="E4" s="30" t="str">
        <x:v>Meets Requirements</x:v>
      </x:c>
      <x:c r="F4" s="30" t="str">
        <x:v>Preliminary Grade</x:v>
      </x:c>
      <x:c r="G4" s="30" t="str">
        <x:v>Preliminary Notes</x:v>
      </x:c>
      <x:c r="H4" s="30" t="str">
        <x:v>Submission File</x:v>
      </x:c>
    </x:row>
    <x:row r="5">
      <x:c r="A5" s="31" t="str">
        <x:v>Aguayo</x:v>
      </x:c>
      <x:c r="B5" s="31" t="str">
        <x:v>Not found</x:v>
      </x:c>
      <x:c r="C5" s="32" t="n">
        <x:v>90</x:v>
      </x:c>
      <x:c r="D5" s="32" t="n">
        <x:v>100</x:v>
      </x:c>
      <x:c r="E5" s="32" t="n">
        <x:v>90</x:v>
      </x:c>
      <x:c r="F5" s="32" t="n">
        <x:f>ROUND(AVERAGE(C5:E5),0)</x:f>
        <x:v>93</x:v>
      </x:c>
      <x:c r="G5" s="33" t="str">
        <x:v>All three exercises are present and executable. Exercises 1 and 2 change Ben's supplied score from 1 to 4, so the required starting data and resulting rosters are not exact. Exercise 2 explanatory questions are omitted.</x:v>
      </x:c>
      <x:c r="H5" s="33" t="str">
        <x:v>ProblemSet2.ipynb</x:v>
      </x:c>
    </x:row>
    <x:row r="6">
      <x:c r="A6" s="31" t="str">
        <x:v>Dong</x:v>
      </x:c>
      <x:c r="B6" s="31" t="str">
        <x:v>Not found</x:v>
      </x:c>
      <x:c r="C6" s="32" t="n">
        <x:v>100</x:v>
      </x:c>
      <x:c r="D6" s="32" t="n">
        <x:v>100</x:v>
      </x:c>
      <x:c r="E6" s="32" t="n">
        <x:v>100</x:v>
      </x:c>
      <x:c r="F6" s="32" t="n">
        <x:f>ROUND(AVERAGE(C6:E6),0)</x:f>
        <x:v>100</x:v>
      </x:c>
      <x:c r="G6" s="33" t="str">
        <x:v>All three exercises are complete. The for-loop and while-loop versions sort the supplied data correctly; Exercise 3 collects 10 student tuples, sorts them, and prints the requested placement report.</x:v>
      </x:c>
      <x:c r="H6" s="33" t="str">
        <x:v>Bao - Problem Set 2 - Computer Science.pdf</x:v>
      </x:c>
    </x:row>
    <x:row r="7">
      <x:c r="A7" s="31" t="str">
        <x:v>Garcia</x:v>
      </x:c>
      <x:c r="B7" s="31" t="str">
        <x:v>20689943</x:v>
      </x:c>
      <x:c r="C7" s="32" t="n">
        <x:v>100</x:v>
      </x:c>
      <x:c r="D7" s="32" t="n">
        <x:v>100</x:v>
      </x:c>
      <x:c r="E7" s="32" t="n">
        <x:v>100</x:v>
      </x:c>
      <x:c r="F7" s="32" t="n">
        <x:f>ROUND(AVERAGE(C7:E7),0)</x:f>
        <x:v>100</x:v>
      </x:c>
      <x:c r="G7" s="33" t="str">
        <x:v>Complete, executable, and meets all major requirements, including the Exercise 2 explanations and the input-driven placement system in Exercise 3.</x:v>
      </x:c>
      <x:c r="H7" s="33" t="str">
        <x:v>Garcia_20689943 (2).ipynb</x:v>
      </x:c>
    </x:row>
    <x:row r="8">
      <x:c r="A8" s="31" t="str">
        <x:v>Guerrero</x:v>
      </x:c>
      <x:c r="B8" s="31" t="str">
        <x:v>20701493</x:v>
      </x:c>
      <x:c r="C8" s="32" t="n">
        <x:v>90</x:v>
      </x:c>
      <x:c r="D8" s="32" t="n">
        <x:v>100</x:v>
      </x:c>
      <x:c r="E8" s="32" t="n">
        <x:v>92</x:v>
      </x:c>
      <x:c r="F8" s="32" t="n">
        <x:f>ROUND(AVERAGE(C8:E8),0)</x:f>
        <x:v>94</x:v>
      </x:c>
      <x:c r="G8" s="33" t="str">
        <x:v>Sorting logic is correct in all three exercises. Exercise 2 explanatory questions are omitted. Course labels contain spelling errors ('Trigonmetry', 'Calculas'), and the final report labels the Trigonometry roster as Algebra.</x:v>
      </x:c>
      <x:c r="H8" s="33" t="str">
        <x:v>Maggy_Guerrero_20701493-2.ipynb</x:v>
      </x:c>
    </x:row>
    <x:row r="9">
      <x:c r="A9" s="31" t="str">
        <x:v>Hamilton</x:v>
      </x:c>
      <x:c r="B9" s="31" t="str">
        <x:v>20672759</x:v>
      </x:c>
      <x:c r="C9" s="32" t="n">
        <x:v>95</x:v>
      </x:c>
      <x:c r="D9" s="32" t="n">
        <x:v>100</x:v>
      </x:c>
      <x:c r="E9" s="32" t="n">
        <x:v>100</x:v>
      </x:c>
      <x:c r="F9" s="32" t="n">
        <x:f>ROUND(AVERAGE(C9:E9),0)</x:f>
        <x:v>98</x:v>
      </x:c>
      <x:c r="G9" s="33" t="str">
        <x:v>All three programs are correct and executable. The explanation of why i = i + 1 is included; the requested comparison of the for-loop and while-loop current-student variables is omitted.</x:v>
      </x:c>
      <x:c r="H9" s="33" t="str">
        <x:v>Hamilton_20672759-2.ipynb</x:v>
      </x:c>
    </x:row>
    <x:row r="10">
      <x:c r="A10" s="31" t="str">
        <x:v>Harrison</x:v>
      </x:c>
      <x:c r="B10" s="31" t="str">
        <x:v>Not found</x:v>
      </x:c>
      <x:c r="C10" s="32" t="n">
        <x:v>85</x:v>
      </x:c>
      <x:c r="D10" s="32" t="n">
        <x:v>90</x:v>
      </x:c>
      <x:c r="E10" s="32" t="n">
        <x:v>65</x:v>
      </x:c>
      <x:c r="F10" s="32" t="n">
        <x:f>ROUND(AVERAGE(C10:E10),0)</x:f>
        <x:v>80</x:v>
      </x:c>
      <x:c r="G10" s="33" t="str">
        <x:v>Exercises 1 and 2 sort correctly, aside from a minor name typo. Exercise 3 asks for 12 students instead of exactly 10, and its final report references the earlier math_courses object rather than the new Exercise 3 rosters; report printing is also inconsistently indented.</x:v>
      </x:c>
      <x:c r="H10" s="33" t="str">
        <x:v>homework.py</x:v>
      </x:c>
    </x:row>
    <x:row r="11">
      <x:c r="A11" s="31" t="str">
        <x:v>Lam</x:v>
      </x:c>
      <x:c r="B11" s="31" t="str">
        <x:v>20693757</x:v>
      </x:c>
      <x:c r="C11" s="32" t="n">
        <x:v>90</x:v>
      </x:c>
      <x:c r="D11" s="32" t="n">
        <x:v>100</x:v>
      </x:c>
      <x:c r="E11" s="32" t="n">
        <x:v>100</x:v>
      </x:c>
      <x:c r="F11" s="32" t="n">
        <x:f>ROUND(AVERAGE(C11:E11),0)</x:f>
        <x:v>97</x:v>
      </x:c>
      <x:c r="G11" s="33" t="str">
        <x:v>The submitted PDF shows correct code for all three exercises and correct roster output. The two short Exercise 2 explanation/comparison responses are not present.</x:v>
      </x:c>
      <x:c r="H11" s="33" t="str">
        <x:v>Aleck Lam 20693757 Problem Set 2- Loops and Conditional Logic.ipynb - Colab.pdf</x:v>
      </x:c>
    </x:row>
    <x:row r="12">
      <x:c r="A12" s="31" t="str">
        <x:v>Martinez-Amaro</x:v>
      </x:c>
      <x:c r="B12" s="31" t="str">
        <x:v>20698625</x:v>
      </x:c>
      <x:c r="C12" s="32" t="n">
        <x:v>75</x:v>
      </x:c>
      <x:c r="D12" s="32" t="n">
        <x:v>100</x:v>
      </x:c>
      <x:c r="E12" s="32" t="n">
        <x:v>65</x:v>
      </x:c>
      <x:c r="F12" s="32" t="n">
        <x:f>ROUND(AVERAGE(C12:E12),0)</x:f>
        <x:v>80</x:v>
      </x:c>
      <x:c r="G12" s="33" t="str">
        <x:v>Exercises 1 and 2 contain correct sorting logic, but do not print the requested math_courses/math_courses2 objects or answer the Exercise 2 explanation questions. Exercise 3 sorts students directly during input rather than storing (name, score) tuples and then processing the completed list with a for loop.</x:v>
      </x:c>
      <x:c r="H12" s="33" t="str">
        <x:v>Hector_Martinez_20698625_PS2_.ipynb</x:v>
      </x:c>
    </x:row>
    <x:row r="13">
      <x:c r="A13" s="31" t="str">
        <x:v>Moore</x:v>
      </x:c>
      <x:c r="B13" s="31" t="str">
        <x:v>20694059</x:v>
      </x:c>
      <x:c r="C13" s="32" t="n">
        <x:v>55</x:v>
      </x:c>
      <x:c r="D13" s="32" t="n">
        <x:v>100</x:v>
      </x:c>
      <x:c r="E13" s="32" t="n">
        <x:v>40</x:v>
      </x:c>
      <x:c r="F13" s="32" t="n">
        <x:f>ROUND(AVERAGE(C13:E13),0)</x:f>
        <x:v>65</x:v>
      </x:c>
      <x:c r="G13" s="33" t="str">
        <x:v>Exercise 1 is correct. In Exercise 2, the conditional block is outside the while loop, so only the final student is processed and one branch modifies the Exercise 1 roster. Exercise 3 collects only one student rather than 10, so the final placement system is incomplete.</x:v>
      </x:c>
      <x:c r="H13" s="33" t="str">
        <x:v>Problem_Set_2_Meadow_Moore_20694059.ipynb</x:v>
      </x:c>
    </x:row>
    <x:row r="14">
      <x:c r="A14" s="31" t="str">
        <x:v>Needles</x:v>
      </x:c>
      <x:c r="B14" s="31" t="str">
        <x:v>20686013</x:v>
      </x:c>
      <x:c r="C14" s="32" t="n">
        <x:v>80</x:v>
      </x:c>
      <x:c r="D14" s="32" t="n">
        <x:v>100</x:v>
      </x:c>
      <x:c r="E14" s="32" t="n">
        <x:v>92</x:v>
      </x:c>
      <x:c r="F14" s="32" t="n">
        <x:f>ROUND(AVERAGE(C14:E14),0)</x:f>
        <x:v>91</x:v>
      </x:c>
      <x:c r="G14" s="33" t="str">
        <x:v>Core sorting logic is correct in all three exercises. Exercise 1 does not print the three rosters separately; Exercise 2 omits the explanation/comparison prompts and misspells Trigonometry in one label; Exercise 3 prints the raw tuple rather than the requested formatted report.</x:v>
      </x:c>
      <x:c r="H14" s="33" t="str">
        <x:v>Needles_20686013.ipynb</x:v>
      </x:c>
    </x:row>
    <x:row r="15">
      <x:c r="A15" s="31" t="str">
        <x:v>Nguyen</x:v>
      </x:c>
      <x:c r="B15" s="31" t="str">
        <x:v>20695448</x:v>
      </x:c>
      <x:c r="C15" s="32" t="n">
        <x:v>85</x:v>
      </x:c>
      <x:c r="D15" s="32" t="n">
        <x:v>100</x:v>
      </x:c>
      <x:c r="E15" s="32" t="n">
        <x:v>25</x:v>
      </x:c>
      <x:c r="F15" s="32" t="n">
        <x:f>ROUND(AVERAGE(C15:E15),0)</x:f>
        <x:v>70</x:v>
      </x:c>
      <x:c r="G15" s="33" t="str">
        <x:v>All three sections contain executable code, but the placement rules are reversed/misapplied: high scores are sent to Algebra and low scores to Calculus. Exercise 2 uses a for loop for sorting and only uses the while loop to print. Exercise 3 does not build the required list of student tuples before sorting.</x:v>
      </x:c>
      <x:c r="H15" s="33" t="str">
        <x:v>Nguyen_20695448_Problem_Set2.ipynb</x:v>
      </x:c>
    </x:row>
    <x:row r="16">
      <x:c r="A16" s="31" t="str">
        <x:v>Nishikawa</x:v>
      </x:c>
      <x:c r="B16" s="31" t="str">
        <x:v>20697206</x:v>
      </x:c>
      <x:c r="C16" s="32" t="n">
        <x:v>90</x:v>
      </x:c>
      <x:c r="D16" s="32" t="n">
        <x:v>90</x:v>
      </x:c>
      <x:c r="E16" s="32" t="n">
        <x:v>75</x:v>
      </x:c>
      <x:c r="F16" s="32" t="n">
        <x:f>ROUND(AVERAGE(C16:E16),0)</x:f>
        <x:v>85</x:v>
      </x:c>
      <x:c r="G16" s="33" t="str">
        <x:v>Exercises 1 and 3 are correct. Exercise 2 creates math_courses2 but appends students into the original Exercise 1 rosters, leaving math_courses2 empty. The notebook also contains a recorded IndexError from an earlier execution state.</x:v>
      </x:c>
      <x:c r="H16" s="33" t="str">
        <x:v>Michael_Nishikawa_20697206.ipynb</x:v>
      </x:c>
    </x:row>
    <x:row r="17">
      <x:c r="A17" s="31" t="str">
        <x:v>Ögren</x:v>
      </x:c>
      <x:c r="B17" s="31" t="str">
        <x:v>20674779</x:v>
      </x:c>
      <x:c r="C17" s="32" t="n">
        <x:v>100</x:v>
      </x:c>
      <x:c r="D17" s="32" t="n">
        <x:v>100</x:v>
      </x:c>
      <x:c r="E17" s="32" t="n">
        <x:v>70</x:v>
      </x:c>
      <x:c r="F17" s="32" t="n">
        <x:f>ROUND(AVERAGE(C17:E17),0)</x:f>
        <x:v>90</x:v>
      </x:c>
      <x:c r="G17" s="33" t="str">
        <x:v>All three exercises are attempted and execute. However, math_courses objects are lists rather than the required outer tuples, and the condition 'score &gt; 2' sends score 2 students to Algebra rather than Trigonometry in every exercise.</x:v>
      </x:c>
      <x:c r="H17" s="33" t="str">
        <x:v>ArvidOegren_20674779 ().ipynb</x:v>
      </x:c>
    </x:row>
    <x:row r="18">
      <x:c r="A18" s="31" t="str">
        <x:v>Orduno-Chavez</x:v>
      </x:c>
      <x:c r="B18" s="31" t="str">
        <x:v>Not found</x:v>
      </x:c>
      <x:c r="C18" s="32" t="n">
        <x:v>0</x:v>
      </x:c>
      <x:c r="D18" s="32" t="n">
        <x:v>0</x:v>
      </x:c>
      <x:c r="E18" s="32" t="n">
        <x:v>0</x:v>
      </x:c>
      <x:c r="F18" s="32" t="n">
        <x:f>ROUND(AVERAGE(C18:E18),0)</x:f>
        <x:v>0</x:v>
      </x:c>
      <x:c r="G18" s="33" t="str">
        <x:v>The submitted PDF appears to be the unmodified Problem Set 2 assignment handout. No student solution code or executable work is present to grade.</x:v>
      </x:c>
      <x:c r="H18" s="33" t="str">
        <x:v>ProblemSet2.pdf</x:v>
      </x:c>
    </x:row>
    <x:row r="19">
      <x:c r="A19" s="31" t="str">
        <x:v>Poindexter</x:v>
      </x:c>
      <x:c r="B19" s="31" t="str">
        <x:v>20701040</x:v>
      </x:c>
      <x:c r="C19" s="32" t="n">
        <x:v>80</x:v>
      </x:c>
      <x:c r="D19" s="32" t="n">
        <x:v>100</x:v>
      </x:c>
      <x:c r="E19" s="32" t="n">
        <x:v>80</x:v>
      </x:c>
      <x:c r="F19" s="32" t="n">
        <x:f>ROUND(AVERAGE(C19:E19),0)</x:f>
        <x:v>87</x:v>
      </x:c>
      <x:c r="G19" s="33" t="str">
        <x:v>Exercises 1 and 2 are correct. Exercise 2 explanation/comparison responses are omitted. Exercise 3 correctly collects 10 student tuples and builds the course structures, but the final for loop never applies the placement conditional logic, so all three printed rosters remain empty.</x:v>
      </x:c>
      <x:c r="H19" s="33" t="str">
        <x:v>louise_poindexter_20701040 (1).py</x:v>
      </x:c>
    </x:row>
    <x:row r="20">
      <x:c r="A20" s="31" t="str">
        <x:v>Prola</x:v>
      </x:c>
      <x:c r="B20" s="31" t="str">
        <x:v>20700028</x:v>
      </x:c>
      <x:c r="C20" s="32" t="n">
        <x:v>100</x:v>
      </x:c>
      <x:c r="D20" s="32" t="n">
        <x:v>100</x:v>
      </x:c>
      <x:c r="E20" s="32" t="n">
        <x:v>100</x:v>
      </x:c>
      <x:c r="F20" s="32" t="n">
        <x:f>ROUND(AVERAGE(C20:E20),0)</x:f>
        <x:v>100</x:v>
      </x:c>
      <x:c r="G20" s="33" t="str">
        <x:v>Complete, executable, and satisfies the stated requirements for all three exercises, including explanations and the final input-driven placement report.</x:v>
      </x:c>
      <x:c r="H20" s="33" t="str">
        <x:v>Problemset_2_Christian_Prola_ID_20700028.ipynb</x:v>
      </x:c>
    </x:row>
    <x:row r="21">
      <x:c r="A21" s="31" t="str">
        <x:v>Rivera</x:v>
      </x:c>
      <x:c r="B21" s="31" t="str">
        <x:v>20698645</x:v>
      </x:c>
      <x:c r="C21" s="32" t="n">
        <x:v>100</x:v>
      </x:c>
      <x:c r="D21" s="32" t="n">
        <x:v>100</x:v>
      </x:c>
      <x:c r="E21" s="32" t="n">
        <x:v>100</x:v>
      </x:c>
      <x:c r="F21" s="32" t="n">
        <x:f>ROUND(AVERAGE(C21:E21),0)</x:f>
        <x:v>100</x:v>
      </x:c>
      <x:c r="G21" s="33" t="str">
        <x:v>Complete, executable, and satisfies the stated requirements for all three exercises, including the Exercise 2 explanations and the final placement report.</x:v>
      </x:c>
      <x:c r="H21" s="33" t="str">
        <x:v>rivera_20698645_PS2.ipynb</x:v>
      </x:c>
    </x:row>
    <x:row r="22">
      <x:c r="A22" s="31" t="str">
        <x:v>Tran</x:v>
      </x:c>
      <x:c r="B22" s="31" t="str">
        <x:v>20684551</x:v>
      </x:c>
      <x:c r="C22" s="32" t="n">
        <x:v>95</x:v>
      </x:c>
      <x:c r="D22" s="32" t="n">
        <x:v>100</x:v>
      </x:c>
      <x:c r="E22" s="32" t="n">
        <x:v>100</x:v>
      </x:c>
      <x:c r="F22" s="32" t="n">
        <x:f>ROUND(AVERAGE(C22:E22),0)</x:f>
        <x:v>98</x:v>
      </x:c>
      <x:c r="G22" s="33" t="str">
        <x:v>The submitted code for all three exercises is correct and executes cleanly with valid test inputs. The notebook's saved Exercise 3 output was interrupted during interactive input, so completed run evidence is missing. Student ID is carried forward from the prior Problem Set 1 submission.</x:v>
      </x:c>
      <x:c r="H22" s="33" t="str">
        <x:v>Tien_Dat_Tran_Problem_set_2.ipynb</x:v>
      </x:c>
    </x:row>
    <x:row r="23">
      <x:c r="A23" s="31" t="str">
        <x:v>Villarruel</x:v>
      </x:c>
      <x:c r="B23" s="31" t="str">
        <x:v>20694193</x:v>
      </x:c>
      <x:c r="C23" s="32" t="n">
        <x:v>90</x:v>
      </x:c>
      <x:c r="D23" s="32" t="n">
        <x:v>100</x:v>
      </x:c>
      <x:c r="E23" s="32" t="n">
        <x:v>100</x:v>
      </x:c>
      <x:c r="F23" s="32" t="n">
        <x:f>ROUND(AVERAGE(C23:E23),0)</x:f>
        <x:v>97</x:v>
      </x:c>
      <x:c r="G23" s="33" t="str">
        <x:v>All three programs are correct and executable. The Exercise 2 explanation/comparison questions are omitted; otherwise the required structures, loops, placement logic, and final report are correct.</x:v>
      </x:c>
      <x:c r="H23" s="33" t="str">
        <x:v>ProblemSet2_Sarah_Villarruel_ID_20694193_.ipynb</x:v>
      </x:c>
    </x:row>
    <x:row r="24">
      <x:c r="A24" s="31" t="str">
        <x:v>Viramontes</x:v>
      </x:c>
      <x:c r="B24" s="31" t="str">
        <x:v>20694811</x:v>
      </x:c>
      <x:c r="C24" s="32" t="n">
        <x:v>85</x:v>
      </x:c>
      <x:c r="D24" s="32" t="n">
        <x:v>100</x:v>
      </x:c>
      <x:c r="E24" s="32" t="n">
        <x:v>90</x:v>
      </x:c>
      <x:c r="F24" s="32" t="n">
        <x:f>ROUND(AVERAGE(C24:E24),0)</x:f>
        <x:v>92</x:v>
      </x:c>
      <x:c r="G24" s="33" t="str">
        <x:v>Exercises 1 and 2 are correct and include the requested explanations. Exercise 3 correctly collects tuples and sorts them, but it does not print the required final Math Placement Report.</x:v>
      </x:c>
      <x:c r="H24" s="33" t="str">
        <x:v>viramontes_christian_20694811.ipynb</x:v>
      </x:c>
    </x:row>
  </x:sheetData>
  <x:mergeCells>
    <x:mergeCell ref="A1:H1"/>
    <x:mergeCell ref="A2:H2"/>
  </x:mergeCells>
  <x:conditionalFormatting sqref="C5:F2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c443fd2d18a4835"/>
  </x:tableParts>
</x:worksheet>
</file>