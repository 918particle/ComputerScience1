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1b7b723d67445c" /></Relationships>
</file>

<file path=xl/workbook.xml><?xml version="1.0" encoding="utf-8"?>
<x:workbook xmlns:x="http://schemas.openxmlformats.org/spreadsheetml/2006/main">
  <x:sheets>
    <x:sheet xmlns:r="http://schemas.openxmlformats.org/officeDocument/2006/relationships" name="Grading Audit" sheetId="1" r:id="Rf1a4b02bd63147d9"/>
    <x:sheet xmlns:r="http://schemas.openxmlformats.org/officeDocument/2006/relationships" name="Preliminary Grades" sheetId="2" r:id="Rdf0feb9a79f14c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472C4"/>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36213bb6044a6b" /><Relationship Type="http://schemas.openxmlformats.org/officeDocument/2006/relationships/theme" Target="/xl/theme/theme1.xml" Id="Rcdbcff080f194213" /><Relationship Type="http://schemas.openxmlformats.org/officeDocument/2006/relationships/sharedStrings" Target="/xl/sharedStrings.xml" Id="Re2c88f8bb507479f" /><Relationship Type="http://schemas.openxmlformats.org/officeDocument/2006/relationships/worksheet" Target="/xl/worksheets/sheet1.xml" Id="Rf1a4b02bd63147d9" /><Relationship Type="http://schemas.openxmlformats.org/officeDocument/2006/relationships/worksheet" Target="/xl/worksheets/sheet2.xml" Id="Rdf0feb9a79f14c6b" /></Relationships>
</file>

<file path=xl/tables/table1.xml><?xml version="1.0" encoding="utf-8"?>
<x:table xmlns:x="http://schemas.openxmlformats.org/spreadsheetml/2006/main" id="1" name="PS3CurrentAuditTable" displayName="PS3CurrentAuditTable" ref="A4:H24" headerRowCount="1" totalsRowCount="0" totalsRowShown="0">
  <x:tableColumns count="8">
    <x:tableColumn id="1" name="Last Name"/>
    <x:tableColumn id="2" name="Student ID"/>
    <x:tableColumn id="3" name="Completeness"/>
    <x:tableColumn id="4" name="Bug-Free"/>
    <x:tableColumn id="5" name="Meets Requirements"/>
    <x:tableColumn id="6" name="Preliminary Grade"/>
    <x:tableColumn id="7" name="Preliminary Notes"/>
    <x:tableColumn id="8" name="Submission File"/>
  </x:tableColumns>
  <x:tableStyleInfo name="TableStyleMedium2" showFirstColumn="0" showLastColumn="0" showRowStripes="1" showColumnStripes="0"/>
</x:table>
</file>

<file path=xl/tables/table2.xml><?xml version="1.0" encoding="utf-8"?>
<x:table xmlns:x="http://schemas.openxmlformats.org/spreadsheetml/2006/main" id="2" name="PS3CurrentGradesTable" displayName="PS3CurrentGradesTable" ref="A1:C21" headerRowCount="1" totalsRowCount="0" totalsRowShown="0">
  <x:tableColumns count="3">
    <x:tableColumn id="1" name="Last Name"/>
    <x:tableColumn id="2" name="Student ID"/>
    <x:tableColumn id="3" name="Preliminary 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8a01ff5d404ae9" /></Relationships>
</file>

<file path=xl/worksheets/_rels/sheet2.xml.rels>&#65279;<?xml version="1.0" encoding="utf-8"?><Relationships xmlns="http://schemas.openxmlformats.org/package/2006/relationships"><Relationship Type="http://schemas.openxmlformats.org/officeDocument/2006/relationships/table" Target="/xl/tables/table2.xml" Id="R2e9552f4b9bf4c9e"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6" hidden="0" customWidth="1"/>
    <x:col min="5" max="5" width="18" hidden="0" customWidth="1"/>
    <x:col min="6" max="6" width="18" hidden="0" customWidth="1"/>
    <x:col min="7" max="7" width="72" hidden="0" customWidth="1"/>
    <x:col min="8" max="8" width="52" hidden="0" customWidth="1"/>
  </x:cols>
  <x:sheetData>
    <x:row r="1">
      <x:c r="A1" s="5" t="str">
        <x:v>Problem Set 3 Regrade — Current Submissions</x:v>
      </x:c>
    </x:row>
    <x:row r="2" ht="42" customHeight="1">
      <x:c r="A2" s="10" t="str">
        <x:v>Rubric: Completeness, Bug-Free Execution, and Meets Requirements are equally weighted. Preliminary Grade = rounded mean of the three category scores. Newly submitted work was graded under the same standard; unchanged previously graded submissions retain their prior audit scores.</x:v>
      </x:c>
    </x:row>
    <x:row r="4">
      <x:c r="A4" s="24" t="str">
        <x:v>Last Name</x:v>
      </x:c>
      <x:c r="B4" s="24" t="str">
        <x:v>Student ID</x:v>
      </x:c>
      <x:c r="C4" s="24" t="str">
        <x:v>Completeness</x:v>
      </x:c>
      <x:c r="D4" s="24" t="str">
        <x:v>Bug-Free</x:v>
      </x:c>
      <x:c r="E4" s="24" t="str">
        <x:v>Meets Requirements</x:v>
      </x:c>
      <x:c r="F4" s="24" t="str">
        <x:v>Preliminary Grade</x:v>
      </x:c>
      <x:c r="G4" s="24" t="str">
        <x:v>Preliminary Notes</x:v>
      </x:c>
      <x:c r="H4" s="24" t="str">
        <x:v>Submission File</x:v>
      </x:c>
    </x:row>
    <x:row r="5">
      <x:c r="A5" s="25" t="str">
        <x:v>Aguayo</x:v>
      </x:c>
      <x:c r="B5" s="25" t="str">
        <x:v>Not found</x:v>
      </x:c>
      <x:c r="C5" s="26" t="n">
        <x:v>90</x:v>
      </x:c>
      <x:c r="D5" s="26" t="n">
        <x:v>100</x:v>
      </x:c>
      <x:c r="E5" s="26" t="n">
        <x:v>65</x:v>
      </x:c>
      <x:c r="F5" s="26" t="n">
        <x:f>ROUND(AVERAGE(C5:E5),0)</x:f>
        <x:v>85</x:v>
      </x:c>
      <x:c r="G5" s="27" t="str">
        <x:v>Exercise 1 calculations are present, including 0.99 and 1.01, but the required written pole explanations are missing. Exercise 2 does not use the required course-list/math_courses structure and stores full (name, ID, score) tuples rather than (name, ID). Exercise 3 uses three separate while loops instead of one loop over math_courses.</x:v>
      </x:c>
      <x:c r="H5" s="27" t="str">
        <x:v>Problem_Set_3.ipynb</x:v>
      </x:c>
    </x:row>
    <x:row r="6">
      <x:c r="A6" s="25" t="str">
        <x:v>Catano</x:v>
      </x:c>
      <x:c r="B6" s="25" t="str">
        <x:v>20696016</x:v>
      </x:c>
      <x:c r="C6" s="26" t="n">
        <x:v>90</x:v>
      </x:c>
      <x:c r="D6" s="26" t="n">
        <x:v>100</x:v>
      </x:c>
      <x:c r="E6" s="26" t="n">
        <x:v>85</x:v>
      </x:c>
      <x:c r="F6" s="26" t="n">
        <x:f>ROUND(AVERAGE(C6:E6),0)</x:f>
        <x:v>92</x:v>
      </x:c>
      <x:c r="G6" s="27" t="str">
        <x:v>New submission. All three computational exercises execute correctly: the pole function is evaluated at the required values, placement() produces the correct course assignments, the rosters contain (name, student_id) tuples, and the while loop counts all six students. The required written pole explanations and final count explanation are omitted, the requested placement tests for scores 1, 3, and 5 are not shown, and math_courses is a list rather than the requested outer tuple.</x:v>
      </x:c>
      <x:c r="H6" s="27" t="str">
        <x:v>Enrique_Catano_20696016_Problem_Set_3.ipynb</x:v>
      </x:c>
    </x:row>
    <x:row r="7">
      <x:c r="A7" s="25" t="str">
        <x:v>Dong</x:v>
      </x:c>
      <x:c r="B7" s="25" t="str">
        <x:v>Not found</x:v>
      </x:c>
      <x:c r="C7" s="26" t="n">
        <x:v>100</x:v>
      </x:c>
      <x:c r="D7" s="26" t="n">
        <x:v>100</x:v>
      </x:c>
      <x:c r="E7" s="26" t="n">
        <x:v>75</x:v>
      </x:c>
      <x:c r="F7" s="26" t="n">
        <x:f>ROUND(AVERAGE(C7:E7),0)</x:f>
        <x:v>92</x:v>
      </x:c>
      <x:c r="G7" s="27" t="str">
        <x:v>The submission runs and includes all three exercises. Exercise 1 prints f(x) values but not x alongside f(x). Exercise 2 stores only names rather than (name, student_id). Exercise 3 adds len(math_courses[i]) rather than the roster length len(math_courses[i][1]), producing 6 only because each course record has length 2; the expected-total explanation is omitted.</x:v>
      </x:c>
      <x:c r="H7" s="27" t="str">
        <x:v>Bao_Problem_Set_3.ipynb</x:v>
      </x:c>
    </x:row>
    <x:row r="8">
      <x:c r="A8" s="25" t="str">
        <x:v>Garcia</x:v>
      </x:c>
      <x:c r="B8" s="25" t="str">
        <x:v>20689943</x:v>
      </x:c>
      <x:c r="C8" s="26" t="n">
        <x:v>100</x:v>
      </x:c>
      <x:c r="D8" s="26" t="n">
        <x:v>100</x:v>
      </x:c>
      <x:c r="E8" s="26" t="n">
        <x:v>100</x:v>
      </x:c>
      <x:c r="F8" s="26" t="n">
        <x:f>ROUND(AVERAGE(C8:E8),0)</x:f>
        <x:v>100</x:v>
      </x:c>
      <x:c r="G8" s="27" t="str">
        <x:v>Complete and clean. The function evaluation, pole explanations, placement function, required roster structure, one-loop placement logic, while-loop roster count, and final explanation all satisfy the assignment.</x:v>
      </x:c>
      <x:c r="H8" s="27" t="str">
        <x:v>Garcia_20689943_assignment#3.ipynb</x:v>
      </x:c>
    </x:row>
    <x:row r="9">
      <x:c r="A9" s="25" t="str">
        <x:v>Guerrero</x:v>
      </x:c>
      <x:c r="B9" s="25" t="str">
        <x:v>20701493</x:v>
      </x:c>
      <x:c r="C9" s="26" t="n">
        <x:v>90</x:v>
      </x:c>
      <x:c r="D9" s="26" t="n">
        <x:v>100</x:v>
      </x:c>
      <x:c r="E9" s="26" t="n">
        <x:v>85</x:v>
      </x:c>
      <x:c r="F9" s="26" t="n">
        <x:f>ROUND(AVERAGE(C9:E9),0)</x:f>
        <x:v>92</x:v>
      </x:c>
      <x:c r="G9" s="27" t="str">
        <x:v>The computational work runs and gives the intended rosters and total. The required written explanations for the pole behavior and final count are omitted. math_courses is a list rather than the requested tuple, and several course labels are misspelled or inconsistently capitalized.</x:v>
      </x:c>
      <x:c r="H9" s="27" t="str">
        <x:v>Problem_set3_Maggy_Guerrero_20701493.ipynb</x:v>
      </x:c>
    </x:row>
    <x:row r="10">
      <x:c r="A10" s="25" t="str">
        <x:v>Hamilton</x:v>
      </x:c>
      <x:c r="B10" s="25" t="str">
        <x:v>20672759</x:v>
      </x:c>
      <x:c r="C10" s="26" t="n">
        <x:v>90</x:v>
      </x:c>
      <x:c r="D10" s="26" t="n">
        <x:v>100</x:v>
      </x:c>
      <x:c r="E10" s="26" t="n">
        <x:v>98</x:v>
      </x:c>
      <x:c r="F10" s="26" t="n">
        <x:f>ROUND(AVERAGE(C10:E10),0)</x:f>
        <x:v>96</x:v>
      </x:c>
      <x:c r="G10" s="27" t="str">
        <x:v>The code is correct and runs cleanly. The explanation for excluding x=1 is present, but the required discussion of magnitude/sign near the pole and the explanation of why the final total should be 6 are omitted.</x:v>
      </x:c>
      <x:c r="H10" s="27" t="str">
        <x:v>Hamilton_20672759-3.ipynb</x:v>
      </x:c>
    </x:row>
    <x:row r="11">
      <x:c r="A11" s="25" t="str">
        <x:v>Harrison</x:v>
      </x:c>
      <x:c r="B11" s="25" t="str">
        <x:v>Not found</x:v>
      </x:c>
      <x:c r="C11" s="26" t="n">
        <x:v>80</x:v>
      </x:c>
      <x:c r="D11" s="26" t="n">
        <x:v>100</x:v>
      </x:c>
      <x:c r="E11" s="26" t="n">
        <x:v>45</x:v>
      </x:c>
      <x:c r="F11" s="26" t="n">
        <x:f>ROUND(AVERAGE(C11:E11),0)</x:f>
        <x:v>75</x:v>
      </x:c>
      <x:c r="G11" s="27" t="str">
        <x:v>Exercise 1 evaluates the requested values but omits the written pole explanations. In placement(), score 2 is excluded from the Trigonometry range, so Sophia is omitted from all rosters. Exercise 3 begins with i=1 and counts only later course records, producing Total: 3 rather than 6. The file executes without a Python runtime error, but the logic does not meet several stated requirements.</x:v>
      </x:c>
      <x:c r="H11" s="27" t="str">
        <x:v>homework_3.py</x:v>
      </x:c>
    </x:row>
    <x:row r="12">
      <x:c r="A12" s="25" t="str">
        <x:v>Lam</x:v>
      </x:c>
      <x:c r="B12" s="25" t="str">
        <x:v>20693757</x:v>
      </x:c>
      <x:c r="C12" s="26" t="n">
        <x:v>90</x:v>
      </x:c>
      <x:c r="D12" s="26" t="n">
        <x:v>100</x:v>
      </x:c>
      <x:c r="E12" s="26" t="n">
        <x:v>95</x:v>
      </x:c>
      <x:c r="F12" s="26" t="n">
        <x:f>ROUND(AVERAGE(C12:E12),0)</x:f>
        <x:v>95</x:v>
      </x:c>
      <x:c r="G12" s="27" t="str">
        <x:v>Resubmitted Problem Set 3 notebook now contains all three computational exercises and executes cleanly: the pole function is evaluated at the required values, placement() returns the correct courses, the required roster structure is built, and the while loop counts all six students. The remaining omissions are the requested written explanations for why x=1 is excluded, the magnitude/sign behavior near the pole, and why the final total should be 6.</x:v>
      </x:c>
      <x:c r="H12" s="27" t="str">
        <x:v>Copy of Aleck Lam 20693757 Problem Set 3 Loops and Functions .ipynb</x:v>
      </x:c>
    </x:row>
    <x:row r="13">
      <x:c r="A13" s="25" t="str">
        <x:v>Locashio</x:v>
      </x:c>
      <x:c r="B13" s="25" t="str">
        <x:v>20693381</x:v>
      </x:c>
      <x:c r="C13" s="26" t="n">
        <x:v>45</x:v>
      </x:c>
      <x:c r="D13" s="26" t="n">
        <x:v>100</x:v>
      </x:c>
      <x:c r="E13" s="26" t="n">
        <x:v>20</x:v>
      </x:c>
      <x:c r="F13" s="26" t="n">
        <x:f>ROUND(AVERAGE(C13:E13),0)</x:f>
        <x:v>55</x:v>
      </x:c>
      <x:c r="G13" s="27" t="str">
        <x:v>Exercise 1 defines f(x) but does not actually call and print it for the required values or test 0.99/1.01. Exercise 2 prints course names instead of returning them and never processes the student list into the rosters. Exercise 3 is absent. The submitted cells themselves do not raise a runtime error.</x:v>
      </x:c>
      <x:c r="H13" s="27" t="str">
        <x:v>Locashio_20693381 (1).ipynb</x:v>
      </x:c>
    </x:row>
    <x:row r="14">
      <x:c r="A14" s="25" t="str">
        <x:v>Martinez-Amaro</x:v>
      </x:c>
      <x:c r="B14" s="25" t="str">
        <x:v>20698625</x:v>
      </x:c>
      <x:c r="C14" s="26" t="n">
        <x:v>80</x:v>
      </x:c>
      <x:c r="D14" s="26" t="n">
        <x:v>100</x:v>
      </x:c>
      <x:c r="E14" s="26" t="n">
        <x:v>85</x:v>
      </x:c>
      <x:c r="F14" s="26" t="n">
        <x:f>ROUND(AVERAGE(C14:E14),0)</x:f>
        <x:v>88</x:v>
      </x:c>
      <x:c r="G14" s="27" t="str">
        <x:v>Exercise 2 and the while-loop count are correct. Exercise 1 omits the 0.99 and 1.01 tests and the written pole explanations, and prints f(x) without x. The final explanation of why the roster count is 6 is also omitted.</x:v>
      </x:c>
      <x:c r="H14" s="27" t="str">
        <x:v>HectorMartinez_20698625.ipynb</x:v>
      </x:c>
    </x:row>
    <x:row r="15">
      <x:c r="A15" s="25" t="str">
        <x:v>Moore</x:v>
      </x:c>
      <x:c r="B15" s="25" t="str">
        <x:v>20694059</x:v>
      </x:c>
      <x:c r="C15" s="26" t="n">
        <x:v>90</x:v>
      </x:c>
      <x:c r="D15" s="26" t="n">
        <x:v>100</x:v>
      </x:c>
      <x:c r="E15" s="26" t="n">
        <x:v>95</x:v>
      </x:c>
      <x:c r="F15" s="26" t="n">
        <x:f>ROUND(AVERAGE(C15:E15),0)</x:f>
        <x:v>95</x:v>
      </x:c>
      <x:c r="G15" s="27" t="str">
        <x:v>The submitted code runs and correctly completes the numerical function evaluation, placement function, roster construction, and while-loop count. The principal omissions are the required written explanations in Exercise 1 and the explanation of the expected total in Exercise 3.</x:v>
      </x:c>
      <x:c r="H15" s="27" t="str">
        <x:v>Meadow_Moore_20694059_Problem_Set_3_Loops_and_Functions.ipynb</x:v>
      </x:c>
    </x:row>
    <x:row r="16">
      <x:c r="A16" s="25" t="str">
        <x:v>Needles</x:v>
      </x:c>
      <x:c r="B16" s="25" t="str">
        <x:v>20686013</x:v>
      </x:c>
      <x:c r="C16" s="26" t="n">
        <x:v>85</x:v>
      </x:c>
      <x:c r="D16" s="26" t="n">
        <x:v>100</x:v>
      </x:c>
      <x:c r="E16" s="26" t="n">
        <x:v>70</x:v>
      </x:c>
      <x:c r="F16" s="26" t="n">
        <x:f>ROUND(AVERAGE(C16:E16),0)</x:f>
        <x:v>85</x:v>
      </x:c>
      <x:c r="G16" s="27" t="str">
        <x:v>Exercise 1 evaluates all requested values but omits the written pole explanations. Exercise 2 produces the correct rosters, although Trigonometry is misspelled internally and the requested placement tests for scores 1, 3, and 5 are omitted. Exercise 3 adds len(rosters[i]) instead of len(rosters[i][1]); it produces 6 only because each course record has two elements, and the final explanation is omitted.</x:v>
      </x:c>
      <x:c r="H16" s="27" t="str">
        <x:v>needles_20686013.ipynb</x:v>
      </x:c>
    </x:row>
    <x:row r="17">
      <x:c r="A17" s="25" t="str">
        <x:v>Nguyen</x:v>
      </x:c>
      <x:c r="B17" s="25" t="str">
        <x:v>20695448</x:v>
      </x:c>
      <x:c r="C17" s="26" t="n">
        <x:v>75</x:v>
      </x:c>
      <x:c r="D17" s="26" t="n">
        <x:v>100</x:v>
      </x:c>
      <x:c r="E17" s="26" t="n">
        <x:v>60</x:v>
      </x:c>
      <x:c r="F17" s="26" t="n">
        <x:f>ROUND(AVERAGE(C17:E17),0)</x:f>
        <x:v>78</x:v>
      </x:c>
      <x:c r="G17" s="27" t="str">
        <x:v>The notebook executes, but Exercise 1 omits the 0.99/1.01 tests, the sign/magnitude discussion, and printing x with f(x). Exercise 2 stores only student names rather than (name, student_id) and introduces extra roster-display logic. Exercise 3 uses an additional for loop to count students rather than adding len(math_courses[i][1]) and omits the expected-total explanation.</x:v>
      </x:c>
      <x:c r="H17" s="27" t="str">
        <x:v>Nguyen_20695448_Problem_Set3.ipynb</x:v>
      </x:c>
    </x:row>
    <x:row r="18">
      <x:c r="A18" s="25" t="str">
        <x:v>Nishikawa</x:v>
      </x:c>
      <x:c r="B18" s="25" t="str">
        <x:v>20697206</x:v>
      </x:c>
      <x:c r="C18" s="26" t="n">
        <x:v>90</x:v>
      </x:c>
      <x:c r="D18" s="26" t="n">
        <x:v>100</x:v>
      </x:c>
      <x:c r="E18" s="26" t="n">
        <x:v>90</x:v>
      </x:c>
      <x:c r="F18" s="26" t="n">
        <x:f>ROUND(AVERAGE(C18:E18),0)</x:f>
        <x:v>93</x:v>
      </x:c>
      <x:c r="G18" s="27" t="str">
        <x:v>The numerical work and course placement are correct and execute cleanly. Exercise 1 lacks the required written explanations for x=1 and the near-pole sign/magnitude. Exercise 3 counts correctly but uses a for loop inside the while loop instead of adding the roster length directly, and the final explanation is omitted.</x:v>
      </x:c>
      <x:c r="H18" s="27" t="str">
        <x:v>Michael_Nishikawa_20697206 (1).ipynb</x:v>
      </x:c>
    </x:row>
    <x:row r="19">
      <x:c r="A19" s="25" t="str">
        <x:v>Ögren</x:v>
      </x:c>
      <x:c r="B19" s="25" t="str">
        <x:v>20674779</x:v>
      </x:c>
      <x:c r="C19" s="26" t="n">
        <x:v>95</x:v>
      </x:c>
      <x:c r="D19" s="26" t="n">
        <x:v>100</x:v>
      </x:c>
      <x:c r="E19" s="26" t="n">
        <x:v>90</x:v>
      </x:c>
      <x:c r="F19" s="26" t="n">
        <x:f>ROUND(AVERAGE(C19:E19),0)</x:f>
        <x:v>95</x:v>
      </x:c>
      <x:c r="G19" s="27" t="str">
        <x:v>Exercise 1 includes the required near-pole values and brief explanations, and Exercise 2 is correct. Exercise 3 reaches the correct total, but uses three separate while loops rather than the required single while loop over math_courses.</x:v>
      </x:c>
      <x:c r="H19" s="27" t="str">
        <x:v>ArvidOegren_20674779 (4).ipynb</x:v>
      </x:c>
    </x:row>
    <x:row r="20">
      <x:c r="A20" s="25" t="str">
        <x:v>Poindexter</x:v>
      </x:c>
      <x:c r="B20" s="25" t="str">
        <x:v>20701040</x:v>
      </x:c>
      <x:c r="C20" s="26" t="n">
        <x:v>100</x:v>
      </x:c>
      <x:c r="D20" s="26" t="n">
        <x:v>100</x:v>
      </x:c>
      <x:c r="E20" s="26" t="n">
        <x:v>100</x:v>
      </x:c>
      <x:c r="F20" s="26" t="n">
        <x:f>ROUND(AVERAGE(C20:E20),0)</x:f>
        <x:v>100</x:v>
      </x:c>
      <x:c r="G20" s="27" t="str">
        <x:v>Complete and clean. The function evaluation and explanations are present, placement() is reused without duplicating the placement rules, the required student information is stored in the rosters, and the while-loop count and explanation are correct.</x:v>
      </x:c>
      <x:c r="H20" s="27" t="str">
        <x:v>louise_poindexter_20701040 (2).py</x:v>
      </x:c>
    </x:row>
    <x:row r="21">
      <x:c r="A21" s="25" t="str">
        <x:v>Prola</x:v>
      </x:c>
      <x:c r="B21" s="25" t="str">
        <x:v>20700028</x:v>
      </x:c>
      <x:c r="C21" s="26" t="n">
        <x:v>100</x:v>
      </x:c>
      <x:c r="D21" s="26" t="n">
        <x:v>100</x:v>
      </x:c>
      <x:c r="E21" s="26" t="n">
        <x:v>100</x:v>
      </x:c>
      <x:c r="F21" s="26" t="n">
        <x:f>ROUND(AVERAGE(C21:E21),0)</x:f>
        <x:v>100</x:v>
      </x:c>
      <x:c r="G21" s="27" t="str">
        <x:v>Complete and clean. All requested calculations, explanations, data structures, placement tests, roster construction, while-loop count, and final explanation are present and correct.</x:v>
      </x:c>
      <x:c r="H21" s="27" t="str">
        <x:v>Problemset_3_Christian_Prola_ID_20700028.ipynb</x:v>
      </x:c>
    </x:row>
    <x:row r="22">
      <x:c r="A22" s="25" t="str">
        <x:v>Rivera</x:v>
      </x:c>
      <x:c r="B22" s="25" t="str">
        <x:v>20698645</x:v>
      </x:c>
      <x:c r="C22" s="26" t="n">
        <x:v>70</x:v>
      </x:c>
      <x:c r="D22" s="26" t="n">
        <x:v>35</x:v>
      </x:c>
      <x:c r="E22" s="26" t="n">
        <x:v>63</x:v>
      </x:c>
      <x:c r="F22" s="26" t="n">
        <x:f>ROUND(AVERAGE(C22:E22),0)</x:f>
        <x:v>56</x:v>
      </x:c>
      <x:c r="G22" s="27" t="str">
        <x:v>Exercise 1 is substantially complete. In a clean top-to-bottom run, Exercise 2 fails because placement() references roster variables before they are defined; its list append calls also use an invalid two-argument form. Exercise 3 refers to an undefined variable course and does not compute the requested total. Major parts of Exercises 2 and 3 therefore do not execute successfully.</x:v>
      </x:c>
      <x:c r="H22" s="27" t="str">
        <x:v>rivera_20698645_PS3.ipynb</x:v>
      </x:c>
    </x:row>
    <x:row r="23">
      <x:c r="A23" s="25" t="str">
        <x:v>Tran</x:v>
      </x:c>
      <x:c r="B23" s="25" t="str">
        <x:v>Not found</x:v>
      </x:c>
      <x:c r="C23" s="26" t="n">
        <x:v>100</x:v>
      </x:c>
      <x:c r="D23" s="26" t="n">
        <x:v>100</x:v>
      </x:c>
      <x:c r="E23" s="26" t="n">
        <x:v>100</x:v>
      </x:c>
      <x:c r="F23" s="26" t="n">
        <x:f>ROUND(AVERAGE(C23:E23),0)</x:f>
        <x:v>100</x:v>
      </x:c>
      <x:c r="G23" s="27" t="str">
        <x:v>All three exercises are complete and execute correctly: the pole function and explanations are present, placement() and the required roster structures are correct, and the single while loop counts all six students with an appropriate explanation.</x:v>
      </x:c>
      <x:c r="H23" s="27" t="str">
        <x:v>Problem_3__Tien_Dat_Tran.ipynb</x:v>
      </x:c>
    </x:row>
    <x:row r="24">
      <x:c r="A24" s="25" t="str">
        <x:v>Villarruel</x:v>
      </x:c>
      <x:c r="B24" s="25" t="str">
        <x:v>20694193</x:v>
      </x:c>
      <x:c r="C24" s="26" t="n">
        <x:v>80</x:v>
      </x:c>
      <x:c r="D24" s="26" t="n">
        <x:v>100</x:v>
      </x:c>
      <x:c r="E24" s="26" t="n">
        <x:v>80</x:v>
      </x:c>
      <x:c r="F24" s="26" t="n">
        <x:f>ROUND(AVERAGE(C24:E24),0)</x:f>
        <x:v>87</x:v>
      </x:c>
      <x:c r="G24" s="27" t="str">
        <x:v>Exercise 2 and the while-loop count are correct and run cleanly. Exercise 1 evaluates only the original values, prints f(x) without x, and omits the 0.99/1.01 tests and written pole explanations. The final explanation of why the total is 6 is also omitted.</x:v>
      </x:c>
      <x:c r="H24" s="27" t="str">
        <x:v>20694193_Sarah_Villarruel_HW_3_CS.ipynb</x:v>
      </x:c>
    </x:row>
    <x:row r="25">
      <x:c r="A25" t="str">
        <x:v>Viramontes</x:v>
      </x:c>
      <x:c r="B25" t="str">
        <x:v>20694811</x:v>
      </x:c>
      <x:c r="C25" t="n">
        <x:v>95</x:v>
      </x:c>
      <x:c r="D25" t="n">
        <x:v>100</x:v>
      </x:c>
      <x:c r="E25" t="n">
        <x:v>80</x:v>
      </x:c>
      <x:c r="F25" t="n">
        <x:f>ROUND(AVERAGE(C25:E25),0)</x:f>
        <x:v>92</x:v>
      </x:c>
      <x:c r="G25" t="str">
        <x:v>Exercise 1 is complete, including the near-pole explanation. In Exercise 2, the placement condition sends score 2 to Algebra rather than Trigonometry, so the resulting rosters are incorrect. Exercise 3 prints a total of 6, but its statement that there are two students in each course conflicts with the produced 3/1/2 roster distribution.</x:v>
      </x:c>
      <x:c r="H25" t="str">
        <x:v>viramontes_christian20694811ipynb.ipynb</x:v>
      </x:c>
    </x:row>
  </x:sheetData>
  <x:mergeCells>
    <x:mergeCell ref="A1:H1"/>
    <x:mergeCell ref="A2:H2"/>
  </x:mergeCells>
  <x:conditionalFormatting sqref="C5:F24">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308a01ff5d404ae9"/>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20" hidden="0" customWidth="1"/>
  </x:cols>
  <x:sheetData>
    <x:row r="1">
      <x:c r="A1" s="34" t="str">
        <x:v>Last Name</x:v>
      </x:c>
      <x:c r="B1" s="34" t="str">
        <x:v>Student ID</x:v>
      </x:c>
      <x:c r="C1" s="34" t="str">
        <x:v>Preliminary Grade</x:v>
      </x:c>
    </x:row>
    <x:row r="2">
      <x:c r="A2" t="str">
        <x:v>Aguayo</x:v>
      </x:c>
      <x:c r="B2" t="str">
        <x:v>Not found</x:v>
      </x:c>
      <x:c r="C2" s="22" t="n">
        <x:f>'Grading Audit'!F5</x:f>
        <x:v>85</x:v>
      </x:c>
    </x:row>
    <x:row r="3">
      <x:c r="A3" t="str">
        <x:v>Catano</x:v>
      </x:c>
      <x:c r="B3" t="str">
        <x:v>20696016</x:v>
      </x:c>
      <x:c r="C3" s="22" t="n">
        <x:f>'Grading Audit'!F6</x:f>
        <x:v>92</x:v>
      </x:c>
    </x:row>
    <x:row r="4">
      <x:c r="A4" t="str">
        <x:v>Dong</x:v>
      </x:c>
      <x:c r="B4" t="str">
        <x:v>Not found</x:v>
      </x:c>
      <x:c r="C4" s="22" t="n">
        <x:f>'Grading Audit'!F7</x:f>
        <x:v>92</x:v>
      </x:c>
    </x:row>
    <x:row r="5">
      <x:c r="A5" t="str">
        <x:v>Garcia</x:v>
      </x:c>
      <x:c r="B5" t="str">
        <x:v>20689943</x:v>
      </x:c>
      <x:c r="C5" s="22" t="n">
        <x:f>'Grading Audit'!F8</x:f>
        <x:v>100</x:v>
      </x:c>
    </x:row>
    <x:row r="6">
      <x:c r="A6" t="str">
        <x:v>Guerrero</x:v>
      </x:c>
      <x:c r="B6" t="str">
        <x:v>20701493</x:v>
      </x:c>
      <x:c r="C6" s="22" t="n">
        <x:f>'Grading Audit'!F9</x:f>
        <x:v>92</x:v>
      </x:c>
    </x:row>
    <x:row r="7">
      <x:c r="A7" t="str">
        <x:v>Hamilton</x:v>
      </x:c>
      <x:c r="B7" t="str">
        <x:v>20672759</x:v>
      </x:c>
      <x:c r="C7" s="22" t="n">
        <x:f>'Grading Audit'!F10</x:f>
        <x:v>96</x:v>
      </x:c>
    </x:row>
    <x:row r="8">
      <x:c r="A8" t="str">
        <x:v>Harrison</x:v>
      </x:c>
      <x:c r="B8" t="str">
        <x:v>Not found</x:v>
      </x:c>
      <x:c r="C8" s="22" t="n">
        <x:f>'Grading Audit'!F11</x:f>
        <x:v>75</x:v>
      </x:c>
    </x:row>
    <x:row r="9">
      <x:c r="A9" t="str">
        <x:v>Lam</x:v>
      </x:c>
      <x:c r="B9" t="str">
        <x:v>20693757</x:v>
      </x:c>
      <x:c r="C9" s="22" t="n">
        <x:f>'Grading Audit'!F12</x:f>
        <x:v>95</x:v>
      </x:c>
    </x:row>
    <x:row r="10">
      <x:c r="A10" t="str">
        <x:v>Locashio</x:v>
      </x:c>
      <x:c r="B10" t="str">
        <x:v>20693381</x:v>
      </x:c>
      <x:c r="C10" s="22" t="n">
        <x:f>'Grading Audit'!F13</x:f>
        <x:v>55</x:v>
      </x:c>
    </x:row>
    <x:row r="11">
      <x:c r="A11" t="str">
        <x:v>Martinez-Amaro</x:v>
      </x:c>
      <x:c r="B11" t="str">
        <x:v>20698625</x:v>
      </x:c>
      <x:c r="C11" s="22" t="n">
        <x:f>'Grading Audit'!F14</x:f>
        <x:v>88</x:v>
      </x:c>
    </x:row>
    <x:row r="12">
      <x:c r="A12" t="str">
        <x:v>Moore</x:v>
      </x:c>
      <x:c r="B12" t="str">
        <x:v>20694059</x:v>
      </x:c>
      <x:c r="C12" s="22" t="n">
        <x:f>'Grading Audit'!F15</x:f>
        <x:v>95</x:v>
      </x:c>
    </x:row>
    <x:row r="13">
      <x:c r="A13" t="str">
        <x:v>Needles</x:v>
      </x:c>
      <x:c r="B13" t="str">
        <x:v>20686013</x:v>
      </x:c>
      <x:c r="C13" s="22" t="n">
        <x:f>'Grading Audit'!F16</x:f>
        <x:v>85</x:v>
      </x:c>
    </x:row>
    <x:row r="14">
      <x:c r="A14" t="str">
        <x:v>Nguyen</x:v>
      </x:c>
      <x:c r="B14" t="str">
        <x:v>20695448</x:v>
      </x:c>
      <x:c r="C14" s="22" t="n">
        <x:f>'Grading Audit'!F17</x:f>
        <x:v>78</x:v>
      </x:c>
    </x:row>
    <x:row r="15">
      <x:c r="A15" t="str">
        <x:v>Nishikawa</x:v>
      </x:c>
      <x:c r="B15" t="str">
        <x:v>20697206</x:v>
      </x:c>
      <x:c r="C15" s="22" t="n">
        <x:f>'Grading Audit'!F18</x:f>
        <x:v>93</x:v>
      </x:c>
    </x:row>
    <x:row r="16">
      <x:c r="A16" t="str">
        <x:v>Ögren</x:v>
      </x:c>
      <x:c r="B16" t="str">
        <x:v>20674779</x:v>
      </x:c>
      <x:c r="C16" s="22" t="n">
        <x:f>'Grading Audit'!F19</x:f>
        <x:v>95</x:v>
      </x:c>
    </x:row>
    <x:row r="17">
      <x:c r="A17" t="str">
        <x:v>Poindexter</x:v>
      </x:c>
      <x:c r="B17" t="str">
        <x:v>20701040</x:v>
      </x:c>
      <x:c r="C17" s="22" t="n">
        <x:f>'Grading Audit'!F20</x:f>
        <x:v>100</x:v>
      </x:c>
    </x:row>
    <x:row r="18">
      <x:c r="A18" t="str">
        <x:v>Prola</x:v>
      </x:c>
      <x:c r="B18" t="str">
        <x:v>20700028</x:v>
      </x:c>
      <x:c r="C18" s="22" t="n">
        <x:f>'Grading Audit'!F21</x:f>
        <x:v>100</x:v>
      </x:c>
    </x:row>
    <x:row r="19">
      <x:c r="A19" t="str">
        <x:v>Rivera</x:v>
      </x:c>
      <x:c r="B19" t="str">
        <x:v>20698645</x:v>
      </x:c>
      <x:c r="C19" s="22" t="n">
        <x:f>'Grading Audit'!F22</x:f>
        <x:v>56</x:v>
      </x:c>
    </x:row>
    <x:row r="20">
      <x:c r="A20" t="str">
        <x:v>Tran</x:v>
      </x:c>
      <x:c r="B20" t="str">
        <x:v>Not found</x:v>
      </x:c>
      <x:c r="C20" s="22" t="n">
        <x:f>'Grading Audit'!F23</x:f>
        <x:v>100</x:v>
      </x:c>
    </x:row>
    <x:row r="21">
      <x:c r="A21" t="str">
        <x:v>Villarruel</x:v>
      </x:c>
      <x:c r="B21" t="str">
        <x:v>20694193</x:v>
      </x:c>
      <x:c r="C21" s="22" t="n">
        <x:f>'Grading Audit'!F24</x:f>
        <x:v>87</x:v>
      </x:c>
    </x:row>
    <x:row r="22">
      <x:c r="A22" t="str">
        <x:v>Viramontes</x:v>
      </x:c>
      <x:c r="B22" t="str">
        <x:v>20694811</x:v>
      </x:c>
      <x:c r="C22" t="n">
        <x:f>'Grading Audit'!F25</x:f>
        <x:v>92</x:v>
      </x:c>
    </x:row>
  </x:sheetData>
  <x:conditionalFormatting sqref="C2:C2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e9552f4b9bf4c9e"/>
  </x:tableParts>
</x:worksheet>
</file>