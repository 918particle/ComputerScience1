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ed6dcfbd0094598" /></Relationships>
</file>

<file path=xl/workbook.xml><?xml version="1.0" encoding="utf-8"?>
<x:workbook xmlns:x="http://schemas.openxmlformats.org/spreadsheetml/2006/main">
  <x:sheets>
    <x:sheet xmlns:r="http://schemas.openxmlformats.org/officeDocument/2006/relationships" name="Grading Audit" sheetId="1" r:id="R2fe08547261e4ca8"/>
    <x:sheet xmlns:r="http://schemas.openxmlformats.org/officeDocument/2006/relationships" name="Preliminary Grades" sheetId="2" r:id="R7e6aa3acc886420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b/>
      <x:sz val="14"/>
      <x:color rgb="FFFFFFFF"/>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4472C4"/>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2"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16370987d74557" /><Relationship Type="http://schemas.openxmlformats.org/officeDocument/2006/relationships/theme" Target="/xl/theme/theme1.xml" Id="R6b41176ef4554618" /><Relationship Type="http://schemas.openxmlformats.org/officeDocument/2006/relationships/sharedStrings" Target="/xl/sharedStrings.xml" Id="Rb295f5cdd94245bf" /><Relationship Type="http://schemas.openxmlformats.org/officeDocument/2006/relationships/worksheet" Target="/xl/worksheets/sheet1.xml" Id="R2fe08547261e4ca8" /><Relationship Type="http://schemas.openxmlformats.org/officeDocument/2006/relationships/worksheet" Target="/xl/worksheets/sheet2.xml" Id="R7e6aa3acc886420c" /></Relationships>
</file>

<file path=xl/tables/table1.xml><?xml version="1.0" encoding="utf-8"?>
<x:table xmlns:x="http://schemas.openxmlformats.org/spreadsheetml/2006/main" id="1" name="Bonus9AuditTable" displayName="Bonus9AuditTable" ref="A4:H14" headerRowCount="1" totalsRowCount="0" totalsRowShown="0">
  <x:tableColumns count="8">
    <x:tableColumn id="1" name="Last Name"/>
    <x:tableColumn id="2" name="Student ID"/>
    <x:tableColumn id="3" name="Completeness"/>
    <x:tableColumn id="4" name="Bug-Free"/>
    <x:tableColumn id="5" name="Meets Requirements"/>
    <x:tableColumn id="6" name="Preliminary Grade"/>
    <x:tableColumn id="7" name="Preliminary Notes"/>
    <x:tableColumn id="8" name="Submission File"/>
  </x:tableColumns>
  <x:tableStyleInfo name="TableStyleMedium2" showFirstColumn="0" showLastColumn="0" showRowStripes="1" showColumnStripes="0"/>
</x:table>
</file>

<file path=xl/tables/table2.xml><?xml version="1.0" encoding="utf-8"?>
<x:table xmlns:x="http://schemas.openxmlformats.org/spreadsheetml/2006/main" id="2" name="Bonus9GradesTable" displayName="Bonus9GradesTable" ref="A1:C11" headerRowCount="1" totalsRowCount="0" totalsRowShown="0">
  <x:tableColumns count="3">
    <x:tableColumn id="1" name="Last Name"/>
    <x:tableColumn id="2" name="Student ID"/>
    <x:tableColumn id="3" name="Preliminary Grad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c2f50092a094ef2" /></Relationships>
</file>

<file path=xl/worksheets/_rels/sheet2.xml.rels>&#65279;<?xml version="1.0" encoding="utf-8"?><Relationships xmlns="http://schemas.openxmlformats.org/package/2006/relationships"><Relationship Type="http://schemas.openxmlformats.org/officeDocument/2006/relationships/table" Target="/xl/tables/table2.xml" Id="R9f78072db7f04779" /></Relationships>
</file>

<file path=xl/worksheets/sheet1.xml><?xml version="1.0" encoding="utf-8"?>
<x:worksheet xmlns:x="http://schemas.openxmlformats.org/spreadsheetml/2006/main">
  <x:sheetFormatPr defaultRowHeight="15"/>
  <x:cols>
    <x:col min="1" max="1" width="20" hidden="0" customWidth="1"/>
    <x:col min="2" max="2" width="18" hidden="0" customWidth="1"/>
    <x:col min="3" max="3" width="16" hidden="0" customWidth="1"/>
    <x:col min="4" max="4" width="16" hidden="0" customWidth="1"/>
    <x:col min="5" max="5" width="18" hidden="0" customWidth="1"/>
    <x:col min="6" max="6" width="18" hidden="0" customWidth="1"/>
    <x:col min="7" max="7" width="68" hidden="0" customWidth="1"/>
    <x:col min="8" max="8" width="48" hidden="0" customWidth="1"/>
  </x:cols>
  <x:sheetData>
    <x:row r="1">
      <x:c r="A1" s="5" t="str">
        <x:v>Bonus In-Class Exercise 9 Grading Audit</x:v>
      </x:c>
    </x:row>
    <x:row r="2" ht="42" customHeight="1">
      <x:c r="A2" s="10" t="str">
        <x:v>Rubric: Completeness, Bug-Free Execution, and Meets Requirements are equally weighted. Final score = rounded mean of the three category scores. The room-conflict section was treated as a modest part of completeness because the handout labels it as a Challenge.</x:v>
      </x:c>
    </x:row>
    <x:row r="4">
      <x:c r="A4" s="24" t="str">
        <x:v>Last Name</x:v>
      </x:c>
      <x:c r="B4" s="24" t="str">
        <x:v>Student ID</x:v>
      </x:c>
      <x:c r="C4" s="24" t="str">
        <x:v>Completeness</x:v>
      </x:c>
      <x:c r="D4" s="24" t="str">
        <x:v>Bug-Free</x:v>
      </x:c>
      <x:c r="E4" s="24" t="str">
        <x:v>Meets Requirements</x:v>
      </x:c>
      <x:c r="F4" s="24" t="str">
        <x:v>Preliminary Grade</x:v>
      </x:c>
      <x:c r="G4" s="24" t="str">
        <x:v>Preliminary Notes</x:v>
      </x:c>
      <x:c r="H4" s="24" t="str">
        <x:v>Submission File</x:v>
      </x:c>
    </x:row>
    <x:row r="5">
      <x:c r="A5" s="25" t="str">
        <x:v>Aguayo</x:v>
      </x:c>
      <x:c r="B5" s="25" t="str">
        <x:v>Not found</x:v>
      </x:c>
      <x:c r="C5" s="26" t="n">
        <x:v>95</x:v>
      </x:c>
      <x:c r="D5" s="26" t="n">
        <x:v>100</x:v>
      </x:c>
      <x:c r="E5" s="26" t="n">
        <x:v>90</x:v>
      </x:c>
      <x:c r="F5" s="26" t="n">
        <x:f>ROUND(AVERAGE(C5:E5),0)</x:f>
        <x:v>95</x:v>
      </x:c>
      <x:c r="G5" s="27" t="str">
        <x:v>Submitted a working course_tools.py module and a notebook that imports it, adds courses, sorts by time, and displays the schedule correctly. The challenge is attempted, but its conflict test requires identical day strings rather than merely sharing at least one meeting day. No explicit first/last prediction was included.</x:v>
      </x:c>
      <x:c r="H5" s="27" t="str">
        <x:v>Courses.ipynb + course_tools.py</x:v>
      </x:c>
    </x:row>
    <x:row r="6">
      <x:c r="A6" s="25" t="str">
        <x:v>Garcia</x:v>
      </x:c>
      <x:c r="B6" s="25" t="str">
        <x:v>20689943</x:v>
      </x:c>
      <x:c r="C6" s="26" t="n">
        <x:v>85</x:v>
      </x:c>
      <x:c r="D6" s="26" t="n">
        <x:v>35</x:v>
      </x:c>
      <x:c r="E6" s="26" t="n">
        <x:v>65</x:v>
      </x:c>
      <x:c r="F6" s="26" t="n">
        <x:f>ROUND(AVERAGE(C6:E6),0)</x:f>
        <x:v>62</x:v>
      </x:c>
      <x:c r="G6" s="27" t="str">
        <x:v>The notebook follows the intended driver-program structure, uses add_course(), sorts and displays the schedule, and includes correct room-conflict tests. However, the required course_tools.py module was not included in the submission archive, so the notebook cannot run cleanly in a fresh environment. No explicit first/last prediction was included.</x:v>
      </x:c>
      <x:c r="H6" s="27" t="str">
        <x:v>Garcia_20689943.ipynb</x:v>
      </x:c>
    </x:row>
    <x:row r="7">
      <x:c r="A7" s="25" t="str">
        <x:v>Guerrero</x:v>
      </x:c>
      <x:c r="B7" s="25" t="str">
        <x:v>20701493</x:v>
      </x:c>
      <x:c r="C7" s="26" t="n">
        <x:v>65</x:v>
      </x:c>
      <x:c r="D7" s="26" t="n">
        <x:v>45</x:v>
      </x:c>
      <x:c r="E7" s="26" t="n">
        <x:v>40</x:v>
      </x:c>
      <x:c r="F7" s="26" t="n">
        <x:f>ROUND(AVERAGE(C7:E7),0)</x:f>
        <x:v>50</x:v>
      </x:c>
      <x:c r="G7" s="27" t="str">
        <x:v>The notebook includes versions of the requested functions and attempts the room-conflict challenge, but it does not encapsulate them in a course_tools.py module or import that module from a separate program. get_time() is incorrect (it calls courses(5)), the required sorting/display calls are commented out, and the conflict loop uses 'not same_room', so it prints non-conflicts instead of conflicts.</x:v>
      </x:c>
      <x:c r="H7" s="27" t="str">
        <x:v>Bonus_points,_Example_9,_Maggy_Guerrero_20701493.ipynb</x:v>
      </x:c>
    </x:row>
    <x:row r="8">
      <x:c r="A8" s="25" t="str">
        <x:v>Hamilton</x:v>
      </x:c>
      <x:c r="B8" s="25" t="str">
        <x:v>20672759</x:v>
      </x:c>
      <x:c r="C8" s="26" t="n">
        <x:v>90</x:v>
      </x:c>
      <x:c r="D8" s="26" t="n">
        <x:v>95</x:v>
      </x:c>
      <x:c r="E8" s="26" t="n">
        <x:v>70</x:v>
      </x:c>
      <x:c r="F8" s="26" t="n">
        <x:f>ROUND(AVERAGE(C8:E8),0)</x:f>
        <x:v>85</x:v>
      </x:c>
      <x:c r="G8" s="27" t="str">
        <x:v>A correct course_tools.py module is included, including a correct shared-day room-conflict test. The main script runs, but it largely bypasses the module functions: it appends directly, defines its own get_time(), sorts directly, and prints raw records instead of calling sort_by_time() and display_courses(). The challenge function is not actually called, and the written ordering prediction is not fully correct.</x:v>
      </x:c>
      <x:c r="H8" s="27" t="str">
        <x:v>course_tools.py + hamilton20672759_py.py</x:v>
      </x:c>
    </x:row>
    <x:row r="9">
      <x:c r="A9" s="25" t="str">
        <x:v>Martinez-Amaro</x:v>
      </x:c>
      <x:c r="B9" s="25" t="str">
        <x:v>20698625</x:v>
      </x:c>
      <x:c r="C9" s="26" t="n">
        <x:v>100</x:v>
      </x:c>
      <x:c r="D9" s="26" t="n">
        <x:v>100</x:v>
      </x:c>
      <x:c r="E9" s="26" t="n">
        <x:v>100</x:v>
      </x:c>
      <x:c r="F9" s="26" t="n">
        <x:f>ROUND(AVERAGE(C9:E9),0)</x:f>
        <x:v>100</x:v>
      </x:c>
      <x:c r="G9" s="27" t="str">
        <x:v>Complete submission. The notebook writes course_tools.py, imports it in the driver code, uses add_course(), sorts and displays by time, includes a first/last prediction, and correctly implements and runs conflict detection requiring the same room, same time, and at least one shared day.</x:v>
      </x:c>
      <x:c r="H9" s="27" t="str">
        <x:v>martinez_hector20698625.ipynb</x:v>
      </x:c>
    </x:row>
    <x:row r="10">
      <x:c r="A10" s="25" t="str">
        <x:v>Moore</x:v>
      </x:c>
      <x:c r="B10" s="25" t="str">
        <x:v>20694059</x:v>
      </x:c>
      <x:c r="C10" s="26" t="n">
        <x:v>70</x:v>
      </x:c>
      <x:c r="D10" s="26" t="n">
        <x:v>40</x:v>
      </x:c>
      <x:c r="E10" s="26" t="n">
        <x:v>50</x:v>
      </x:c>
      <x:c r="F10" s="26" t="n">
        <x:f>ROUND(AVERAGE(C10:E10),0)</x:f>
        <x:v>53</x:v>
      </x:c>
      <x:c r="G10" s="27" t="str">
        <x:v>The notebook contains the core function definitions and course data and shows a correctly sorted output from a prior runtime. However, it imports course_tools even though no course_tools.py module was submitted, so a clean run fails at the import. It also does not use add_course(), does not include a first/last prediction, and does not attempt the conflict challenge.</x:v>
      </x:c>
      <x:c r="H10" s="27" t="str">
        <x:v>Meadow_Moore_20694059_In_Class_Exercise_9.ipynb</x:v>
      </x:c>
    </x:row>
    <x:row r="11">
      <x:c r="A11" s="25" t="str">
        <x:v>Needles</x:v>
      </x:c>
      <x:c r="B11" s="25" t="str">
        <x:v>20686013</x:v>
      </x:c>
      <x:c r="C11" s="26" t="n">
        <x:v>95</x:v>
      </x:c>
      <x:c r="D11" s="26" t="n">
        <x:v>90</x:v>
      </x:c>
      <x:c r="E11" s="26" t="n">
        <x:v>90</x:v>
      </x:c>
      <x:c r="F11" s="26" t="n">
        <x:f>ROUND(AVERAGE(C11:E11),0)</x:f>
        <x:v>92</x:v>
      </x:c>
      <x:c r="G11" s="27" t="str">
        <x:v>The notebook writes a working course_tools.py module, imports it, sorts and displays the schedule correctly, and attempts conflict detection. The challenge logic compares the entire day string for equality, so it misses conflicts such as MWF versus MW that share a meeting day. The main notebook also builds the master list directly instead of using add_course(), and no explicit first/last prediction is shown.</x:v>
      </x:c>
      <x:c r="H11" s="27" t="str">
        <x:v>Needles_20686013.ipynb</x:v>
      </x:c>
    </x:row>
    <x:row r="12">
      <x:c r="A12" s="25" t="str">
        <x:v>Ögren</x:v>
      </x:c>
      <x:c r="B12" s="25" t="str">
        <x:v>20674779</x:v>
      </x:c>
      <x:c r="C12" s="26" t="n">
        <x:v>90</x:v>
      </x:c>
      <x:c r="D12" s="26" t="n">
        <x:v>30</x:v>
      </x:c>
      <x:c r="E12" s="26" t="n">
        <x:v>65</x:v>
      </x:c>
      <x:c r="F12" s="26" t="n">
        <x:f>ROUND(AVERAGE(C12:E12),0)</x:f>
        <x:v>62</x:v>
      </x:c>
      <x:c r="G12" s="27" t="str">
        <x:v>The submitted course_tools.py contains the required functions and a correct conflict checker. The separate script, however, imports course_tools3 rather than the submitted course_tools module, and later calls sort_by_room(courses) even though its list variable is named course. These errors prevent a clean run. The script also bypasses add_course()/display_courses(), and its written time-order prediction is inaccurate.</x:v>
      </x:c>
      <x:c r="H12" s="27" t="str">
        <x:v>Oegren_20674779.py + course_tools.py</x:v>
      </x:c>
    </x:row>
    <x:row r="13">
      <x:c r="A13" s="25" t="str">
        <x:v>Prola</x:v>
      </x:c>
      <x:c r="B13" s="25" t="str">
        <x:v>20700028</x:v>
      </x:c>
      <x:c r="C13" s="26" t="n">
        <x:v>100</x:v>
      </x:c>
      <x:c r="D13" s="26" t="n">
        <x:v>100</x:v>
      </x:c>
      <x:c r="E13" s="26" t="n">
        <x:v>100</x:v>
      </x:c>
      <x:c r="F13" s="26" t="n">
        <x:f>ROUND(AVERAGE(C13:E13),0)</x:f>
        <x:v>100</x:v>
      </x:c>
      <x:c r="G13" s="27" t="str">
        <x:v>Complete and cleanly executed submission. The notebook writes course_tools.py and a separate course_schedule.py, uses the module functions to add, sort, and display courses, identifies first and last courses, and separately tests the conflict function with both a true and false shared-day case.</x:v>
      </x:c>
      <x:c r="H13" s="27" t="str">
        <x:v>Chapter_9_In_Class_Exercise_Christian_Prola_ID_20700028.ipynb</x:v>
      </x:c>
    </x:row>
    <x:row r="14">
      <x:c r="A14" s="25" t="str">
        <x:v>Villarruel</x:v>
      </x:c>
      <x:c r="B14" s="25" t="str">
        <x:v>20694193</x:v>
      </x:c>
      <x:c r="C14" s="26" t="n">
        <x:v>65</x:v>
      </x:c>
      <x:c r="D14" s="26" t="n">
        <x:v>70</x:v>
      </x:c>
      <x:c r="E14" s="26" t="n">
        <x:v>45</x:v>
      </x:c>
      <x:c r="F14" s="26" t="n">
        <x:f>ROUND(AVERAGE(C14:E14),0)</x:f>
        <x:v>60</x:v>
      </x:c>
      <x:c r="G14" s="27" t="str">
        <x:v>The notebook defines the requested core functions and a correct same-room predicate, but it does not place them in a course_tools.py module or import a module from a separate program. The time-sort and display calls are commented out, no first/last prediction is included, and the final loop uses 'not same_room', so it prints every non-conflicting pair rather than room conflicts.</x:v>
      </x:c>
      <x:c r="H14" s="27" t="str">
        <x:v>In_Class_exercise_9.ipynb</x:v>
      </x:c>
    </x:row>
  </x:sheetData>
  <x:mergeCells>
    <x:mergeCell ref="A1:H1"/>
    <x:mergeCell ref="A2:H2"/>
  </x:mergeCells>
  <x:conditionalFormatting sqref="C5:F14">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8c2f50092a094ef2"/>
  </x:tableParts>
</x:worksheet>
</file>

<file path=xl/worksheets/sheet2.xml><?xml version="1.0" encoding="utf-8"?>
<x:worksheet xmlns:x="http://schemas.openxmlformats.org/spreadsheetml/2006/main">
  <x:sheetFormatPr defaultRowHeight="15"/>
  <x:cols>
    <x:col min="1" max="1" width="20" hidden="0" customWidth="1"/>
    <x:col min="2" max="2" width="18" hidden="0" customWidth="1"/>
    <x:col min="3" max="3" width="20" hidden="0" customWidth="1"/>
  </x:cols>
  <x:sheetData>
    <x:row r="1">
      <x:c r="A1" s="34" t="str">
        <x:v>Last Name</x:v>
      </x:c>
      <x:c r="B1" s="34" t="str">
        <x:v>Student ID</x:v>
      </x:c>
      <x:c r="C1" s="34" t="str">
        <x:v>Preliminary Grade</x:v>
      </x:c>
    </x:row>
    <x:row r="2">
      <x:c r="A2" t="str">
        <x:v>Aguayo</x:v>
      </x:c>
      <x:c r="B2" t="str">
        <x:v>Not found</x:v>
      </x:c>
      <x:c r="C2" s="22" t="n">
        <x:f>'Grading Audit'!F5</x:f>
        <x:v>95</x:v>
      </x:c>
    </x:row>
    <x:row r="3">
      <x:c r="A3" t="str">
        <x:v>Garcia</x:v>
      </x:c>
      <x:c r="B3" t="str">
        <x:v>20689943</x:v>
      </x:c>
      <x:c r="C3" s="22" t="n">
        <x:f>'Grading Audit'!F6</x:f>
        <x:v>62</x:v>
      </x:c>
    </x:row>
    <x:row r="4">
      <x:c r="A4" t="str">
        <x:v>Guerrero</x:v>
      </x:c>
      <x:c r="B4" t="str">
        <x:v>20701493</x:v>
      </x:c>
      <x:c r="C4" s="22" t="n">
        <x:f>'Grading Audit'!F7</x:f>
        <x:v>50</x:v>
      </x:c>
    </x:row>
    <x:row r="5">
      <x:c r="A5" t="str">
        <x:v>Hamilton</x:v>
      </x:c>
      <x:c r="B5" t="str">
        <x:v>20672759</x:v>
      </x:c>
      <x:c r="C5" s="22" t="n">
        <x:f>'Grading Audit'!F8</x:f>
        <x:v>85</x:v>
      </x:c>
    </x:row>
    <x:row r="6">
      <x:c r="A6" t="str">
        <x:v>Martinez-Amaro</x:v>
      </x:c>
      <x:c r="B6" t="str">
        <x:v>20698625</x:v>
      </x:c>
      <x:c r="C6" s="22" t="n">
        <x:f>'Grading Audit'!F9</x:f>
        <x:v>100</x:v>
      </x:c>
    </x:row>
    <x:row r="7">
      <x:c r="A7" t="str">
        <x:v>Moore</x:v>
      </x:c>
      <x:c r="B7" t="str">
        <x:v>20694059</x:v>
      </x:c>
      <x:c r="C7" s="22" t="n">
        <x:f>'Grading Audit'!F10</x:f>
        <x:v>53</x:v>
      </x:c>
    </x:row>
    <x:row r="8">
      <x:c r="A8" t="str">
        <x:v>Needles</x:v>
      </x:c>
      <x:c r="B8" t="str">
        <x:v>20686013</x:v>
      </x:c>
      <x:c r="C8" s="22" t="n">
        <x:f>'Grading Audit'!F11</x:f>
        <x:v>92</x:v>
      </x:c>
    </x:row>
    <x:row r="9">
      <x:c r="A9" t="str">
        <x:v>Ögren</x:v>
      </x:c>
      <x:c r="B9" t="str">
        <x:v>20674779</x:v>
      </x:c>
      <x:c r="C9" s="22" t="n">
        <x:f>'Grading Audit'!F12</x:f>
        <x:v>62</x:v>
      </x:c>
    </x:row>
    <x:row r="10">
      <x:c r="A10" t="str">
        <x:v>Prola</x:v>
      </x:c>
      <x:c r="B10" t="str">
        <x:v>20700028</x:v>
      </x:c>
      <x:c r="C10" s="22" t="n">
        <x:f>'Grading Audit'!F13</x:f>
        <x:v>100</x:v>
      </x:c>
    </x:row>
    <x:row r="11">
      <x:c r="A11" t="str">
        <x:v>Villarruel</x:v>
      </x:c>
      <x:c r="B11" t="str">
        <x:v>20694193</x:v>
      </x:c>
      <x:c r="C11" s="22" t="n">
        <x:f>'Grading Audit'!F14</x:f>
        <x:v>60</x:v>
      </x:c>
    </x:row>
  </x:sheetData>
  <x:conditionalFormatting sqref="C2:C11">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9f78072db7f04779"/>
  </x:tableParts>
</x:worksheet>
</file>