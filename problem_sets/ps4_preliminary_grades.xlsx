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f874df17914269" /></Relationships>
</file>

<file path=xl/workbook.xml><?xml version="1.0" encoding="utf-8"?>
<x:workbook xmlns:x="http://schemas.openxmlformats.org/spreadsheetml/2006/main">
  <x:sheets>
    <x:sheet xmlns:r="http://schemas.openxmlformats.org/officeDocument/2006/relationships" name="Grading Audit" sheetId="1" r:id="R4186462b513c482b"/>
    <x:sheet xmlns:r="http://schemas.openxmlformats.org/officeDocument/2006/relationships" name="Preliminary Grades" sheetId="2" r:id="Raf1c528f86ce476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4"/>
      <x:color rgb="FFFFFFFF"/>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4472C4"/>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f1b57b252c4c83" /><Relationship Type="http://schemas.openxmlformats.org/officeDocument/2006/relationships/theme" Target="/xl/theme/theme1.xml" Id="Ra6f005a99cb9423a" /><Relationship Type="http://schemas.openxmlformats.org/officeDocument/2006/relationships/sharedStrings" Target="/xl/sharedStrings.xml" Id="R7d3fa240c17f4b48" /><Relationship Type="http://schemas.openxmlformats.org/officeDocument/2006/relationships/worksheet" Target="/xl/worksheets/sheet1.xml" Id="R4186462b513c482b" /><Relationship Type="http://schemas.openxmlformats.org/officeDocument/2006/relationships/worksheet" Target="/xl/worksheets/sheet2.xml" Id="Raf1c528f86ce476b" /></Relationships>
</file>

<file path=xl/tables/table1.xml><?xml version="1.0" encoding="utf-8"?>
<x:table xmlns:x="http://schemas.openxmlformats.org/spreadsheetml/2006/main" id="1" name="PS4CurrentAuditTable" displayName="PS4CurrentAuditTable" ref="A4:H23" headerRowCount="1" totalsRowCount="0" totalsRowShown="0">
  <x:tableColumns count="8">
    <x:tableColumn id="1" name="Last Name"/>
    <x:tableColumn id="2" name="Student ID"/>
    <x:tableColumn id="3" name="Completeness"/>
    <x:tableColumn id="4" name="Bug-Free"/>
    <x:tableColumn id="5" name="Meets Requirements"/>
    <x:tableColumn id="6" name="Preliminary Grade"/>
    <x:tableColumn id="7" name="Preliminary Notes"/>
    <x:tableColumn id="8" name="Submission File"/>
  </x:tableColumns>
  <x:tableStyleInfo name="TableStyleMedium2" showFirstColumn="0" showLastColumn="0" showRowStripes="1" showColumnStripes="0"/>
</x:table>
</file>

<file path=xl/tables/table2.xml><?xml version="1.0" encoding="utf-8"?>
<x:table xmlns:x="http://schemas.openxmlformats.org/spreadsheetml/2006/main" id="2" name="PS4CurrentGradesTable" displayName="PS4CurrentGradesTable" ref="A1:C20" headerRowCount="1" totalsRowCount="0" totalsRowShown="0">
  <x:tableColumns count="3">
    <x:tableColumn id="1" name="Last Name"/>
    <x:tableColumn id="2" name="Student ID"/>
    <x:tableColumn id="3" name="Preliminary Gra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3ffaf302c743ae" /></Relationships>
</file>

<file path=xl/worksheets/_rels/sheet2.xml.rels>&#65279;<?xml version="1.0" encoding="utf-8"?><Relationships xmlns="http://schemas.openxmlformats.org/package/2006/relationships"><Relationship Type="http://schemas.openxmlformats.org/officeDocument/2006/relationships/table" Target="/xl/tables/table2.xml" Id="R1e1e9ef18eb04f83" /></Relationships>
</file>

<file path=xl/worksheets/sheet1.xml><?xml version="1.0" encoding="utf-8"?>
<x:worksheet xmlns:x="http://schemas.openxmlformats.org/spreadsheetml/2006/main">
  <x:sheetFormatPr defaultRowHeight="15"/>
  <x:cols>
    <x:col min="1" max="1" width="20" hidden="0" customWidth="1"/>
    <x:col min="2" max="2" width="18" hidden="0" customWidth="1"/>
    <x:col min="3" max="3" width="16" hidden="0" customWidth="1"/>
    <x:col min="4" max="4" width="16" hidden="0" customWidth="1"/>
    <x:col min="5" max="5" width="18" hidden="0" customWidth="1"/>
    <x:col min="6" max="6" width="18" hidden="0" customWidth="1"/>
    <x:col min="7" max="7" width="72" hidden="0" customWidth="1"/>
    <x:col min="8" max="8" width="52" hidden="0" customWidth="1"/>
  </x:cols>
  <x:sheetData>
    <x:row r="1">
      <x:c r="A1" s="5" t="str">
        <x:v>Problem Set 4 Regrade — Current Resubmissions</x:v>
      </x:c>
    </x:row>
    <x:row r="2" ht="42" customHeight="1">
      <x:c r="A2" s="10" t="str">
        <x:v>Rubric: Completeness, Bug-Free Execution, and Meets Requirements are equally weighted. Preliminary Grade = rounded mean of the three category scores. Current resubmitted material was re-evaluated; unchanged submissions retain the prior audit scores under the same rubric.</x:v>
      </x:c>
    </x:row>
    <x:row r="4">
      <x:c r="A4" s="24" t="str">
        <x:v>Last Name</x:v>
      </x:c>
      <x:c r="B4" s="24" t="str">
        <x:v>Student ID</x:v>
      </x:c>
      <x:c r="C4" s="24" t="str">
        <x:v>Completeness</x:v>
      </x:c>
      <x:c r="D4" s="24" t="str">
        <x:v>Bug-Free</x:v>
      </x:c>
      <x:c r="E4" s="24" t="str">
        <x:v>Meets Requirements</x:v>
      </x:c>
      <x:c r="F4" s="24" t="str">
        <x:v>Preliminary Grade</x:v>
      </x:c>
      <x:c r="G4" s="24" t="str">
        <x:v>Preliminary Notes</x:v>
      </x:c>
      <x:c r="H4" s="24" t="str">
        <x:v>Submission File</x:v>
      </x:c>
    </x:row>
    <x:row r="5">
      <x:c r="A5" s="25" t="str">
        <x:v>Aguayo</x:v>
      </x:c>
      <x:c r="B5" s="25" t="str">
        <x:v>Not found</x:v>
      </x:c>
      <x:c r="C5" s="26" t="n">
        <x:v>95</x:v>
      </x:c>
      <x:c r="D5" s="26" t="n">
        <x:v>67</x:v>
      </x:c>
      <x:c r="E5" s="26" t="n">
        <x:v>80</x:v>
      </x:c>
      <x:c r="F5" s="26" t="n">
        <x:f>ROUND(AVERAGE(C5:E5),0)</x:f>
        <x:v>81</x:v>
      </x:c>
      <x:c r="G5" s="27" t="str">
        <x:v>The required patient data and three functions are present, and the saved output shows the intended three qualifying patients. However, the submission uses two .ipynb files rather than patient_data.py and heart_screen.py; a clean execution of heart_screen.ipynb fails because Python cannot import the companion notebook as patient_data.</x:v>
      </x:c>
      <x:c r="H5" s="27" t="str">
        <x:v>patient_data.ipynb + heart_screen.ipynb</x:v>
      </x:c>
    </x:row>
    <x:row r="6">
      <x:c r="A6" s="25" t="str">
        <x:v>Dong</x:v>
      </x:c>
      <x:c r="B6" s="25" t="str">
        <x:v>Not found</x:v>
      </x:c>
      <x:c r="C6" s="26" t="n">
        <x:v>95</x:v>
      </x:c>
      <x:c r="D6" s="26" t="n">
        <x:v>67</x:v>
      </x:c>
      <x:c r="E6" s="26" t="n">
        <x:v>75</x:v>
      </x:c>
      <x:c r="F6" s="26" t="n">
        <x:f>ROUND(AVERAGE(C6:E6),0)</x:f>
        <x:v>79</x:v>
      </x:c>
      <x:c r="G6" s="27" t="str">
        <x:v>The patient data and three requested functions are present. A clean run fails because Bao_heart_screen.py imports patient_data while the submitted module is named Bao_patient_data.py. The heading is omitted, and screening_rule() returns True for matches but implicitly returns None rather than a Boolean False for non-matches.</x:v>
      </x:c>
      <x:c r="H6" s="27" t="str">
        <x:v>Bao_patient_data.py + Bao_heart_screen.py</x:v>
      </x:c>
    </x:row>
    <x:row r="7">
      <x:c r="A7" s="25" t="str">
        <x:v>Garcia</x:v>
      </x:c>
      <x:c r="B7" s="25" t="str">
        <x:v>20689943</x:v>
      </x:c>
      <x:c r="C7" s="26" t="n">
        <x:v>100</x:v>
      </x:c>
      <x:c r="D7" s="26" t="n">
        <x:v>100</x:v>
      </x:c>
      <x:c r="E7" s="26" t="n">
        <x:v>100</x:v>
      </x:c>
      <x:c r="F7" s="26" t="n">
        <x:f>ROUND(AVERAGE(C7:E7),0)</x:f>
        <x:v>100</x:v>
      </x:c>
      <x:c r="G7" s="27" t="str">
        <x:v>The backup archive contains the requested patient_data.py and heart_screen.py files. They execute cleanly, use the required functions and module import, apply the correct strict screening rule, and display only the three matching patients with the required heading.</x:v>
      </x:c>
      <x:c r="H7" s="27" t="str">
        <x:v>assignment4-backupfolder.zip / patient_data.py + heart_screen.py</x:v>
      </x:c>
    </x:row>
    <x:row r="8">
      <x:c r="A8" s="25" t="str">
        <x:v>Guerrero</x:v>
      </x:c>
      <x:c r="B8" s="25" t="str">
        <x:v>20701493</x:v>
      </x:c>
      <x:c r="C8" s="26" t="n">
        <x:v>95</x:v>
      </x:c>
      <x:c r="D8" s="26" t="n">
        <x:v>67</x:v>
      </x:c>
      <x:c r="E8" s="26" t="n">
        <x:v>60</x:v>
      </x:c>
      <x:c r="F8" s="26" t="n">
        <x:f>ROUND(AVERAGE(C8:E8),0)</x:f>
        <x:v>74</x:v>
      </x:c>
      <x:c r="G8" s="27" t="str">
        <x:v>Both the heart-screen notebook and companion patient-data notebook are included. The patient data and all three requested functions are present, the strict screening thresholds are correct, and the heading is present. However, the companion file is patient_data_py.ipynb rather than an importable .py module, so a clean Python import fails. screening_rule() returns the patient tuple (or None) instead of a Boolean, the main loop ignores that return value and relies on display_patient() to perform the screening, and the height/weight labels are reversed.</x:v>
      </x:c>
      <x:c r="H8" s="27" t="str">
        <x:v>heart_screen_Maggy_Guerrero_20701493.ipynb + patient_data_py.ipynb</x:v>
      </x:c>
    </x:row>
    <x:row r="9">
      <x:c r="A9" s="25" t="str">
        <x:v>Hamilton</x:v>
      </x:c>
      <x:c r="B9" s="25" t="str">
        <x:v>20672759</x:v>
      </x:c>
      <x:c r="C9" s="26" t="n">
        <x:v>95</x:v>
      </x:c>
      <x:c r="D9" s="26" t="n">
        <x:v>67</x:v>
      </x:c>
      <x:c r="E9" s="26" t="n">
        <x:v>80</x:v>
      </x:c>
      <x:c r="F9" s="26" t="n">
        <x:f>ROUND(AVERAGE(C9:E9),0)</x:f>
        <x:v>81</x:v>
      </x:c>
      <x:c r="G9" s="27" t="str">
        <x:v>The code is otherwise correct, but the submitted files are named patient_data_py.py and heart_screen_py.py while the main program imports patient_data, so a clean run fails with ModuleNotFoundError. The heading is omitted and screening_rule() lacks the requested docstring.</x:v>
      </x:c>
      <x:c r="H9" s="27" t="str">
        <x:v>patient_data_py.py + heart_screen_py.py</x:v>
      </x:c>
    </x:row>
    <x:row r="10">
      <x:c r="A10" s="25" t="str">
        <x:v>Lam</x:v>
      </x:c>
      <x:c r="B10" s="25" t="str">
        <x:v>20693757</x:v>
      </x:c>
      <x:c r="C10" s="26" t="n">
        <x:v>100</x:v>
      </x:c>
      <x:c r="D10" s="26" t="n">
        <x:v>100</x:v>
      </x:c>
      <x:c r="E10" s="26" t="n">
        <x:v>100</x:v>
      </x:c>
      <x:c r="F10" s="26" t="n">
        <x:f>ROUND(AVERAGE(C10:E10),0)</x:f>
        <x:v>100</x:v>
      </x:c>
      <x:c r="G10" s="27" t="str">
        <x:v>The notebook creates patient_data.py and heart_screen.py, defines all requested functions with docstrings, imports the module, applies the strict screening rule, and executes cleanly with the correct output.</x:v>
      </x:c>
      <x:c r="H10" s="27" t="str">
        <x:v>Aleck Lam 20693757 Problem Set 4 Functions and Modules.ipynb</x:v>
      </x:c>
    </x:row>
    <x:row r="11">
      <x:c r="A11" s="25" t="str">
        <x:v>Locashio</x:v>
      </x:c>
      <x:c r="B11" s="25" t="str">
        <x:v>20693381</x:v>
      </x:c>
      <x:c r="C11" s="26" t="n">
        <x:v>75</x:v>
      </x:c>
      <x:c r="D11" s="26" t="n">
        <x:v>20</x:v>
      </x:c>
      <x:c r="E11" s="26" t="n">
        <x:v>20</x:v>
      </x:c>
      <x:c r="F11" s="26" t="n">
        <x:f>ROUND(AVERAGE(C11:E11),0)</x:f>
        <x:v>38</x:v>
      </x:c>
      <x:c r="G11" s="27" t="str">
        <x:v>Both requested filenames are submitted, but the program does not execute successfully. screening_rule() uses undefined variables, uses weight &gt; 20 instead of &gt; 200, display_patient() accesses patient[7] even though records have seven elements, and the required heading/docstrings/structure are incomplete.</x:v>
      </x:c>
      <x:c r="H11" s="27" t="str">
        <x:v>patient_data.py + heart_screen.py</x:v>
      </x:c>
    </x:row>
    <x:row r="12">
      <x:c r="A12" s="25" t="str">
        <x:v>Martinez-Amaro</x:v>
      </x:c>
      <x:c r="B12" s="25" t="str">
        <x:v>20698625</x:v>
      </x:c>
      <x:c r="C12" s="26" t="n">
        <x:v>85</x:v>
      </x:c>
      <x:c r="D12" s="26" t="n">
        <x:v>100</x:v>
      </x:c>
      <x:c r="E12" s="26" t="n">
        <x:v>55</x:v>
      </x:c>
      <x:c r="F12" s="26" t="n">
        <x:f>ROUND(AVERAGE(C12:E12),0)</x:f>
        <x:v>80</x:v>
      </x:c>
      <x:c r="G12" s="27" t="str">
        <x:v>The patient data, functions, strict screening logic, heading, and correct output are present and execute cleanly. However, all work is contained in one notebook rather than a reusable patient_data.py module imported by a separate heart_screen.py program, which is a central Chapter 7 requirement.</x:v>
      </x:c>
      <x:c r="H12" s="27" t="str">
        <x:v>Hector_Martinez20698625.ipynb</x:v>
      </x:c>
    </x:row>
    <x:row r="13">
      <x:c r="A13" s="25" t="str">
        <x:v>Moore</x:v>
      </x:c>
      <x:c r="B13" s="25" t="str">
        <x:v>20694059</x:v>
      </x:c>
      <x:c r="C13" s="26" t="n">
        <x:v>60</x:v>
      </x:c>
      <x:c r="D13" s="26" t="n">
        <x:v>20</x:v>
      </x:c>
      <x:c r="E13" s="26" t="n">
        <x:v>30</x:v>
      </x:c>
      <x:c r="F13" s="26" t="n">
        <x:f>ROUND(AVERAGE(C13:E13),0)</x:f>
        <x:v>37</x:v>
      </x:c>
      <x:c r="G13" s="27" t="str">
        <x:v>Functions resembling the requested ones are present, but the submitted notebook does not include the patient_data module or the assigned patient data. A clean run fails immediately on import patient_data, and the later code also relies on an undefined patients variable. Saved output appears to come from a different runtime state and different patient data.</x:v>
      </x:c>
      <x:c r="H13" s="27" t="str">
        <x:v>Meadow_Moore_20694059_Problem_Set4.ipynb</x:v>
      </x:c>
    </x:row>
    <x:row r="14">
      <x:c r="A14" s="25" t="str">
        <x:v>Needles</x:v>
      </x:c>
      <x:c r="B14" s="25" t="str">
        <x:v>20686013</x:v>
      </x:c>
      <x:c r="C14" s="26" t="n">
        <x:v>90</x:v>
      </x:c>
      <x:c r="D14" s="26" t="n">
        <x:v>100</x:v>
      </x:c>
      <x:c r="E14" s="26" t="n">
        <x:v>70</x:v>
      </x:c>
      <x:c r="F14" s="26" t="n">
        <x:f>ROUND(AVERAGE(C14:E14),0)</x:f>
        <x:v>87</x:v>
      </x:c>
      <x:c r="G14" s="27" t="str">
        <x:v>The notebook creates patient_data.py and the screening logic executes successfully, but it does not create a separate heart_screen.py file. The final heading is omitted, and display_patient() swaps the height and weight labels/indices in its output.</x:v>
      </x:c>
      <x:c r="H14" s="27" t="str">
        <x:v>Needles_20686013.ipynb</x:v>
      </x:c>
    </x:row>
    <x:row r="15">
      <x:c r="A15" s="25" t="str">
        <x:v>Nguyen</x:v>
      </x:c>
      <x:c r="B15" s="25" t="str">
        <x:v>20695448</x:v>
      </x:c>
      <x:c r="C15" s="26" t="n">
        <x:v>60</x:v>
      </x:c>
      <x:c r="D15" s="26" t="n">
        <x:v>100</x:v>
      </x:c>
      <x:c r="E15" s="26" t="n">
        <x:v>30</x:v>
      </x:c>
      <x:c r="F15" s="26" t="n">
        <x:f>ROUND(AVERAGE(C15:E15),0)</x:f>
        <x:v>63</x:v>
      </x:c>
      <x:c r="G15" s="27" t="str">
        <x:v>The notebook executes and contains the assigned patient data plus get_patients() and screening logic, but it does not create the requested module/main-program pair, does not define display_patient(), and performs printing inside screening_rule(). It also uses &gt;= 70 and &gt;= 200 instead of the required strict &gt; comparisons.</x:v>
      </x:c>
      <x:c r="H15" s="27" t="str">
        <x:v>Nguyen_20695448_Problem_Set4.ipynb</x:v>
      </x:c>
    </x:row>
    <x:row r="16">
      <x:c r="A16" s="25" t="str">
        <x:v>Nishikawa</x:v>
      </x:c>
      <x:c r="B16" s="25" t="str">
        <x:v>20697206</x:v>
      </x:c>
      <x:c r="C16" s="26" t="n">
        <x:v>95</x:v>
      </x:c>
      <x:c r="D16" s="26" t="n">
        <x:v>100</x:v>
      </x:c>
      <x:c r="E16" s="26" t="n">
        <x:v>90</x:v>
      </x:c>
      <x:c r="F16" s="26" t="n">
        <x:f>ROUND(AVERAGE(C16:E16),0)</x:f>
        <x:v>95</x:v>
      </x:c>
      <x:c r="G16" s="27" t="str">
        <x:v>The requested two-file module structure executes cleanly and produces the correct output using the strict screening rule. The main deduction is that screening_rule() and display_patient() do not include the requested docstrings.</x:v>
      </x:c>
      <x:c r="H16" s="27" t="str">
        <x:v>patient_data.py + heart_screen.py</x:v>
      </x:c>
    </x:row>
    <x:row r="17">
      <x:c r="A17" s="25" t="str">
        <x:v>Ögren</x:v>
      </x:c>
      <x:c r="B17" s="25" t="str">
        <x:v>20674779</x:v>
      </x:c>
      <x:c r="C17" s="26" t="n">
        <x:v>95</x:v>
      </x:c>
      <x:c r="D17" s="26" t="n">
        <x:v>100</x:v>
      </x:c>
      <x:c r="E17" s="26" t="n">
        <x:v>65</x:v>
      </x:c>
      <x:c r="F17" s="26" t="n">
        <x:f>ROUND(AVERAGE(C17:E17),0)</x:f>
        <x:v>87</x:v>
      </x:c>
      <x:c r="G17" s="27" t="str">
        <x:v>The submitted files execute and display the correct three patients. However, the module is named patient_data9.py rather than patient_data.py; screening_rule() returns a patient tuple or None instead of a Boolean; display_patient() performs the screening itself; and the main program ignores the return value of screening_rule() rather than using it in an if statement.</x:v>
      </x:c>
      <x:c r="H17" s="27" t="str">
        <x:v>patient_data9.py + heart_screen.py</x:v>
      </x:c>
    </x:row>
    <x:row r="18">
      <x:c r="A18" s="25" t="str">
        <x:v>Poindexter</x:v>
      </x:c>
      <x:c r="B18" s="25" t="str">
        <x:v>20701040</x:v>
      </x:c>
      <x:c r="C18" s="26" t="n">
        <x:v>85</x:v>
      </x:c>
      <x:c r="D18" s="26" t="n">
        <x:v>50</x:v>
      </x:c>
      <x:c r="E18" s="26" t="n">
        <x:v>50</x:v>
      </x:c>
      <x:c r="F18" s="26" t="n">
        <x:f>ROUND(AVERAGE(C18:E18),0)</x:f>
        <x:v>62</x:v>
      </x:c>
      <x:c r="G18" s="27" t="str">
        <x:v>The single submitted .py file contains the assigned data and all three requested functions, but it then imports a separate patient_data module that was not submitted. A clean run therefore fails with ModuleNotFoundError, and the required two-file module/main structure is not present.</x:v>
      </x:c>
      <x:c r="H18" s="27" t="str">
        <x:v>louise_poindexter_20701040_09_18.py</x:v>
      </x:c>
    </x:row>
    <x:row r="19">
      <x:c r="A19" s="25" t="str">
        <x:v>Prola</x:v>
      </x:c>
      <x:c r="B19" s="25" t="str">
        <x:v>20700028</x:v>
      </x:c>
      <x:c r="C19" s="26" t="n">
        <x:v>100</x:v>
      </x:c>
      <x:c r="D19" s="26" t="n">
        <x:v>100</x:v>
      </x:c>
      <x:c r="E19" s="26" t="n">
        <x:v>100</x:v>
      </x:c>
      <x:c r="F19" s="26" t="n">
        <x:f>ROUND(AVERAGE(C19:E19),0)</x:f>
        <x:v>100</x:v>
      </x:c>
      <x:c r="G19" s="27" t="str">
        <x:v>The notebook explicitly writes patient_data.py and heart_screen.py, defines all functions with docstrings, imports the module correctly, and executes the final program with the correct heading and three matching patients.</x:v>
      </x:c>
      <x:c r="H19" s="27" t="str">
        <x:v>Problemset_4_Christian_Prola_ID_20700028.ipynb</x:v>
      </x:c>
    </x:row>
    <x:row r="20">
      <x:c r="A20" s="25" t="str">
        <x:v>Rivera</x:v>
      </x:c>
      <x:c r="B20" s="25" t="str">
        <x:v>20698645</x:v>
      </x:c>
      <x:c r="C20" s="26" t="n">
        <x:v>0</x:v>
      </x:c>
      <x:c r="D20" s="26" t="n">
        <x:v>0</x:v>
      </x:c>
      <x:c r="E20" s="26" t="n">
        <x:v>0</x:v>
      </x:c>
      <x:c r="F20" s="26" t="n">
        <x:f>ROUND(AVERAGE(C20:E20),0)</x:f>
        <x:v>0</x:v>
      </x:c>
      <x:c r="G20" s="27" t="str">
        <x:v>The submitted PDF is the Problem Set 4 assignment handout itself. No student solution code or executable work is present to grade.</x:v>
      </x:c>
      <x:c r="H20" s="27" t="str">
        <x:v>ProblemSet4.pdf</x:v>
      </x:c>
    </x:row>
    <x:row r="21">
      <x:c r="A21" s="25" t="str">
        <x:v>Tran</x:v>
      </x:c>
      <x:c r="B21" s="25" t="str">
        <x:v>Not found</x:v>
      </x:c>
      <x:c r="C21" s="26" t="n">
        <x:v>90</x:v>
      </x:c>
      <x:c r="D21" s="26" t="n">
        <x:v>100</x:v>
      </x:c>
      <x:c r="E21" s="26" t="n">
        <x:v>80</x:v>
      </x:c>
      <x:c r="F21" s="26" t="n">
        <x:f>ROUND(AVERAGE(C21:E21),0)</x:f>
        <x:v>90</x:v>
      </x:c>
      <x:c r="G21" s="27" t="str">
        <x:v>New Problem Set 4 submission. The supplied patient_data.py contains the correct patient records and screening logic, and the driver notebook imports the module and produces the correct three-patient output. The main deduction is that the driver was submitted as Problem_4.ipynb rather than the required heart_screen.py file, and the three functions in patient_data.py do not include the requested docstrings.</x:v>
      </x:c>
      <x:c r="H21" s="27" t="str">
        <x:v>patient_data.py + Problem_4.ipynb</x:v>
      </x:c>
    </x:row>
    <x:row r="22">
      <x:c r="A22" s="25" t="str">
        <x:v>Villarruel</x:v>
      </x:c>
      <x:c r="B22" s="25" t="str">
        <x:v>20694193</x:v>
      </x:c>
      <x:c r="C22" s="26" t="n">
        <x:v>45</x:v>
      </x:c>
      <x:c r="D22" s="26" t="n">
        <x:v>40</x:v>
      </x:c>
      <x:c r="E22" s="26" t="n">
        <x:v>30</x:v>
      </x:c>
      <x:c r="F22" s="26" t="n">
        <x:f>ROUND(AVERAGE(C22:E22),0)</x:f>
        <x:v>38</x:v>
      </x:c>
      <x:c r="G22" s="27" t="str">
        <x:v>Only the heart-screen notebook is included; the patient-data module it imports is not part of the submission, so a clean run fails. The visible main code also calls screening_rule() without using its result in an if statement and relies on the missing module's display function to filter the records.</x:v>
      </x:c>
      <x:c r="H22" s="27" t="str">
        <x:v>heart_screen_20694193_Sarah_Villarruel_HW_4.ipynb</x:v>
      </x:c>
    </x:row>
    <x:row r="23">
      <x:c r="A23" s="25" t="str">
        <x:v>Viramontes</x:v>
      </x:c>
      <x:c r="B23" s="25" t="str">
        <x:v>20694811</x:v>
      </x:c>
      <x:c r="C23" s="26" t="n">
        <x:v>95</x:v>
      </x:c>
      <x:c r="D23" s="26" t="n">
        <x:v>100</x:v>
      </x:c>
      <x:c r="E23" s="26" t="n">
        <x:v>80</x:v>
      </x:c>
      <x:c r="F23" s="26" t="n">
        <x:f>ROUND(AVERAGE(C23:E23),0)</x:f>
        <x:v>92</x:v>
      </x:c>
      <x:c r="G23" s="27" t="str">
        <x:v>The two submitted Python files execute cleanly and display the intended patients with the required heading. The screening comparisons use &gt;= 70 and &gt;= 200 instead of the required strict &gt; conditions, and screening_rule() and display_patient() omit the requested docstrings. The output labels SSN as ID and omits units.</x:v>
      </x:c>
      <x:c r="H23" s="27" t="str">
        <x:v>patient_data.py + heart_screen_.py</x:v>
      </x:c>
    </x:row>
  </x:sheetData>
  <x:mergeCells>
    <x:mergeCell ref="A1:H1"/>
    <x:mergeCell ref="A2:H2"/>
  </x:mergeCells>
  <x:conditionalFormatting sqref="C5:F23">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4d3ffaf302c743ae"/>
  </x:tableParts>
</x: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20" hidden="0" customWidth="1"/>
  </x:cols>
  <x:sheetData>
    <x:row r="1">
      <x:c r="A1" s="34" t="str">
        <x:v>Last Name</x:v>
      </x:c>
      <x:c r="B1" s="34" t="str">
        <x:v>Student ID</x:v>
      </x:c>
      <x:c r="C1" s="34" t="str">
        <x:v>Preliminary Grade</x:v>
      </x:c>
    </x:row>
    <x:row r="2">
      <x:c r="A2" t="str">
        <x:v>Aguayo</x:v>
      </x:c>
      <x:c r="B2" t="str">
        <x:v>Not found</x:v>
      </x:c>
      <x:c r="C2" s="22" t="n">
        <x:f>'Grading Audit'!F5</x:f>
        <x:v>81</x:v>
      </x:c>
    </x:row>
    <x:row r="3">
      <x:c r="A3" t="str">
        <x:v>Dong</x:v>
      </x:c>
      <x:c r="B3" t="str">
        <x:v>Not found</x:v>
      </x:c>
      <x:c r="C3" s="22" t="n">
        <x:f>'Grading Audit'!F6</x:f>
        <x:v>79</x:v>
      </x:c>
    </x:row>
    <x:row r="4">
      <x:c r="A4" t="str">
        <x:v>Garcia</x:v>
      </x:c>
      <x:c r="B4" t="str">
        <x:v>20689943</x:v>
      </x:c>
      <x:c r="C4" s="22" t="n">
        <x:f>'Grading Audit'!F7</x:f>
        <x:v>100</x:v>
      </x:c>
    </x:row>
    <x:row r="5">
      <x:c r="A5" t="str">
        <x:v>Guerrero</x:v>
      </x:c>
      <x:c r="B5" t="str">
        <x:v>20701493</x:v>
      </x:c>
      <x:c r="C5" s="22" t="n">
        <x:f>'Grading Audit'!F8</x:f>
        <x:v>74</x:v>
      </x:c>
    </x:row>
    <x:row r="6">
      <x:c r="A6" t="str">
        <x:v>Hamilton</x:v>
      </x:c>
      <x:c r="B6" t="str">
        <x:v>20672759</x:v>
      </x:c>
      <x:c r="C6" s="22" t="n">
        <x:f>'Grading Audit'!F9</x:f>
        <x:v>81</x:v>
      </x:c>
    </x:row>
    <x:row r="7">
      <x:c r="A7" t="str">
        <x:v>Lam</x:v>
      </x:c>
      <x:c r="B7" t="str">
        <x:v>20693757</x:v>
      </x:c>
      <x:c r="C7" s="22" t="n">
        <x:f>'Grading Audit'!F10</x:f>
        <x:v>100</x:v>
      </x:c>
    </x:row>
    <x:row r="8">
      <x:c r="A8" t="str">
        <x:v>Locashio</x:v>
      </x:c>
      <x:c r="B8" t="str">
        <x:v>20693381</x:v>
      </x:c>
      <x:c r="C8" s="22" t="n">
        <x:f>'Grading Audit'!F11</x:f>
        <x:v>38</x:v>
      </x:c>
    </x:row>
    <x:row r="9">
      <x:c r="A9" t="str">
        <x:v>Martinez-Amaro</x:v>
      </x:c>
      <x:c r="B9" t="str">
        <x:v>20698625</x:v>
      </x:c>
      <x:c r="C9" s="22" t="n">
        <x:f>'Grading Audit'!F12</x:f>
        <x:v>80</x:v>
      </x:c>
    </x:row>
    <x:row r="10">
      <x:c r="A10" t="str">
        <x:v>Moore</x:v>
      </x:c>
      <x:c r="B10" t="str">
        <x:v>20694059</x:v>
      </x:c>
      <x:c r="C10" s="22" t="n">
        <x:f>'Grading Audit'!F13</x:f>
        <x:v>37</x:v>
      </x:c>
    </x:row>
    <x:row r="11">
      <x:c r="A11" t="str">
        <x:v>Needles</x:v>
      </x:c>
      <x:c r="B11" t="str">
        <x:v>20686013</x:v>
      </x:c>
      <x:c r="C11" s="22" t="n">
        <x:f>'Grading Audit'!F14</x:f>
        <x:v>87</x:v>
      </x:c>
    </x:row>
    <x:row r="12">
      <x:c r="A12" t="str">
        <x:v>Nguyen</x:v>
      </x:c>
      <x:c r="B12" t="str">
        <x:v>20695448</x:v>
      </x:c>
      <x:c r="C12" s="22" t="n">
        <x:f>'Grading Audit'!F15</x:f>
        <x:v>63</x:v>
      </x:c>
    </x:row>
    <x:row r="13">
      <x:c r="A13" t="str">
        <x:v>Nishikawa</x:v>
      </x:c>
      <x:c r="B13" t="str">
        <x:v>20697206</x:v>
      </x:c>
      <x:c r="C13" s="22" t="n">
        <x:f>'Grading Audit'!F16</x:f>
        <x:v>95</x:v>
      </x:c>
    </x:row>
    <x:row r="14">
      <x:c r="A14" t="str">
        <x:v>Ögren</x:v>
      </x:c>
      <x:c r="B14" t="str">
        <x:v>20674779</x:v>
      </x:c>
      <x:c r="C14" s="22" t="n">
        <x:f>'Grading Audit'!F17</x:f>
        <x:v>87</x:v>
      </x:c>
    </x:row>
    <x:row r="15">
      <x:c r="A15" t="str">
        <x:v>Poindexter</x:v>
      </x:c>
      <x:c r="B15" t="str">
        <x:v>20701040</x:v>
      </x:c>
      <x:c r="C15" s="22" t="n">
        <x:f>'Grading Audit'!F18</x:f>
        <x:v>62</x:v>
      </x:c>
    </x:row>
    <x:row r="16">
      <x:c r="A16" t="str">
        <x:v>Prola</x:v>
      </x:c>
      <x:c r="B16" t="str">
        <x:v>20700028</x:v>
      </x:c>
      <x:c r="C16" s="22" t="n">
        <x:f>'Grading Audit'!F19</x:f>
        <x:v>100</x:v>
      </x:c>
    </x:row>
    <x:row r="17">
      <x:c r="A17" t="str">
        <x:v>Rivera</x:v>
      </x:c>
      <x:c r="B17" t="str">
        <x:v>20698645</x:v>
      </x:c>
      <x:c r="C17" s="22" t="n">
        <x:f>'Grading Audit'!F20</x:f>
        <x:v>0</x:v>
      </x:c>
    </x:row>
    <x:row r="18">
      <x:c r="A18" t="str">
        <x:v>Tran</x:v>
      </x:c>
      <x:c r="B18" t="str">
        <x:v>Not found</x:v>
      </x:c>
      <x:c r="C18" s="22" t="n">
        <x:f>'Grading Audit'!F21</x:f>
        <x:v>90</x:v>
      </x:c>
    </x:row>
    <x:row r="19">
      <x:c r="A19" t="str">
        <x:v>Villarruel</x:v>
      </x:c>
      <x:c r="B19" t="str">
        <x:v>20694193</x:v>
      </x:c>
      <x:c r="C19" s="22" t="n">
        <x:f>'Grading Audit'!F22</x:f>
        <x:v>38</x:v>
      </x:c>
    </x:row>
    <x:row r="20">
      <x:c r="A20" t="str">
        <x:v>Viramontes</x:v>
      </x:c>
      <x:c r="B20" t="str">
        <x:v>20694811</x:v>
      </x:c>
      <x:c r="C20" s="22" t="n">
        <x:f>'Grading Audit'!F23</x:f>
        <x:v>92</x:v>
      </x:c>
    </x:row>
  </x:sheetData>
  <x:conditionalFormatting sqref="C2:C20">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1e1e9ef18eb04f83"/>
  </x:tableParts>
</x:worksheet>
</file>