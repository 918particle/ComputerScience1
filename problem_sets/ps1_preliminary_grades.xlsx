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liminary Grades" sheetId="1" state="visible" r:id="rId2"/>
    <sheet name="Grading Audi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<sst xmlns="http://schemas.openxmlformats.org/spreadsheetml/2006/main" count="121" uniqueCount="89">
  <si>
    <t xml:space="preserve">Last Name</t>
  </si>
  <si>
    <t xml:space="preserve">Student ID</t>
  </si>
  <si>
    <t xml:space="preserve">Preliminary Grade</t>
  </si>
  <si>
    <t xml:space="preserve">Aguayo</t>
  </si>
  <si>
    <t xml:space="preserve">Dong</t>
  </si>
  <si>
    <t xml:space="preserve">Garcia</t>
  </si>
  <si>
    <t xml:space="preserve">Guerrero</t>
  </si>
  <si>
    <t xml:space="preserve">Hamilton</t>
  </si>
  <si>
    <t xml:space="preserve">Harrison</t>
  </si>
  <si>
    <t xml:space="preserve">Hossain</t>
  </si>
  <si>
    <t xml:space="preserve">Lam</t>
  </si>
  <si>
    <t xml:space="preserve">Locashio</t>
  </si>
  <si>
    <t xml:space="preserve">Martinez-Amaro</t>
  </si>
  <si>
    <t xml:space="preserve">Moore</t>
  </si>
  <si>
    <t xml:space="preserve">Needles</t>
  </si>
  <si>
    <t xml:space="preserve">Nguyen</t>
  </si>
  <si>
    <t xml:space="preserve">Ögren</t>
  </si>
  <si>
    <t xml:space="preserve">Orduno-Chavez</t>
  </si>
  <si>
    <t xml:space="preserve">Poindexter</t>
  </si>
  <si>
    <t xml:space="preserve">Prola</t>
  </si>
  <si>
    <t xml:space="preserve">Rivera</t>
  </si>
  <si>
    <t xml:space="preserve">Tran</t>
  </si>
  <si>
    <t xml:space="preserve">Villarruel</t>
  </si>
  <si>
    <t xml:space="preserve">Viramontes</t>
  </si>
  <si>
    <t xml:space="preserve">Nishikawa</t>
  </si>
  <si>
    <t xml:space="preserve">Catano</t>
  </si>
  <si>
    <t xml:space="preserve">Hale</t>
  </si>
  <si>
    <t xml:space="preserve">Problem Set 1 Preliminary Grading Audit</t>
  </si>
  <si>
    <t xml:space="preserve">Rubric: completeness, bug-free execution, and meeting requirements are equally weighted. Final grades are normalized to 100%.</t>
  </si>
  <si>
    <t xml:space="preserve">Completeness</t>
  </si>
  <si>
    <t xml:space="preserve">Bug-Free</t>
  </si>
  <si>
    <t xml:space="preserve">Meets Requirements</t>
  </si>
  <si>
    <t xml:space="preserve">Preliminary Notes</t>
  </si>
  <si>
    <t xml:space="preserve">Submission File</t>
  </si>
  <si>
    <t xml:space="preserve">Not found</t>
  </si>
  <si>
    <t xml:space="preserve">All three exercises are coded; Exercise 1 has no submitted plot. Exercise 3 uses tuples where the required inner course/student containers were lists.</t>
  </si>
  <si>
    <t xml:space="preserve">Problem_Set__1.ipynb</t>
  </si>
  <si>
    <t xml:space="preserve">Exercises 1 and 2 meet the requirements. Exercise 3 has the right roster contents, but the final outer object is a list enclosed in parentheses rather than a 3-element tuple.</t>
  </si>
  <si>
    <t xml:space="preserve">Bao - Homework 1 - Computer Science 1.pdf</t>
  </si>
  <si>
    <t xml:space="preserve">20689943</t>
  </si>
  <si>
    <t xml:space="preserve">Complete and executable. Exercise 1 plots in Python rather than via spreadsheet; Exercise 3 has the required tuple/list structure but substantially different roster data/course naming.</t>
  </si>
  <si>
    <t xml:space="preserve">Garcia_20689943.ipynb</t>
  </si>
  <si>
    <t xml:space="preserve">20701493</t>
  </si>
  <si>
    <t xml:space="preserve">No submitted plot for Exercise 1. Exercise 3 has the requested tuple/list structure, but the Calculus and Physics student lists do not match the assigned roster data.</t>
  </si>
  <si>
    <t xml:space="preserve">Maggy_Guerrero_20701493.ipynb</t>
  </si>
  <si>
    <t xml:space="preserve">20672759</t>
  </si>
  <si>
    <t xml:space="preserve">Complete and executable with plot evidence. Exercise 3 structure is correct; minor course-label differences ('Calculus 1', 'Physics 1').</t>
  </si>
  <si>
    <t xml:space="preserve">Hamilton_20672759.ipynb</t>
  </si>
  <si>
    <t xml:space="preserve">Exercise 1 evaluates all ten points but no plot is submitted. Exercise 2 collects grades but overwrites one variable and never prints the required final report card. Exercise 3 does not build the required nested tuple/list object.</t>
  </si>
  <si>
    <t xml:space="preserve">homework1.ipynb</t>
  </si>
  <si>
    <t xml:space="preserve">20660590</t>
  </si>
  <si>
    <t xml:space="preserve">Exercise 1 evaluates the ten cosine values but has no submitted plot. Exercise 2 stops after input collection and Exercise 3 is absent. The submitted code itself is syntactically valid.</t>
  </si>
  <si>
    <t xml:space="preserve">Hossain_20660590.ipynb</t>
  </si>
  <si>
    <t xml:space="preserve">20693757</t>
  </si>
  <si>
    <t xml:space="preserve">Exercise 1 omits x=3.0 and has no submitted plot. Exercise 2 collects/prints all grades but does not use dotted leaders. Exercise 3 is structurally correct.</t>
  </si>
  <si>
    <t xml:space="preserve">Aleck Lam 20693757 Problem Set 1 Python Fundamentals.ipynb</t>
  </si>
  <si>
    <t xml:space="preserve">20693381</t>
  </si>
  <si>
    <t xml:space="preserve">Exercise 1 has all ten values but no plot, and a prose sentence was placed in a code cell, producing a SyntaxError on Run All. Exercise 3 is over-nested and does not match the required [course, [students]] elements.</t>
  </si>
  <si>
    <t xml:space="preserve">Locashio_20693381.ipynb</t>
  </si>
  <si>
    <t xml:space="preserve">20698625</t>
  </si>
  <si>
    <t xml:space="preserve">Exercise 1 has all ten evaluations but no submitted plot. Exercise 2 is satisfactory. Exercise 3 collects names but does not construct the required tuple of course-list structures.</t>
  </si>
  <si>
    <t xml:space="preserve">martinez_20698625.ipynb</t>
  </si>
  <si>
    <t xml:space="preserve">Exercise 1 is plotted in Python rather than a spreadsheet. Exercise 2 collects inputs but does not print the required final report card. Exercise 3 uses a list rather than an outer tuple; later 'failed attempt' cells raise NameError.</t>
  </si>
  <si>
    <t xml:space="preserve">Homework Problem Set 1.ipynb</t>
  </si>
  <si>
    <t xml:space="preserve">20686013</t>
  </si>
  <si>
    <t xml:space="preserve">All three exercises are complete, execute cleanly, and satisfy the requested structures/output.</t>
  </si>
  <si>
    <t xml:space="preserve">Needles_20686013.ipynb</t>
  </si>
  <si>
    <t xml:space="preserve">2069448</t>
  </si>
  <si>
    <t xml:space="preserve">Exercise 1 has all ten values but no submitted plot. Exercise 2 has a complete input-driven dotted report card. Exercise 3 prints the rosters but never builds the required outer tuple of [course, student-list] elements.</t>
  </si>
  <si>
    <t xml:space="preserve">Nguyen_2069448.ipynb</t>
  </si>
  <si>
    <t xml:space="preserve">20674779</t>
  </si>
  <si>
    <t xml:space="preserve">Oegren_20674779.ipynb</t>
  </si>
  <si>
    <t xml:space="preserve">Exercises 2 and 3 meet the requirements. Exercise 1 evaluates all ten points but contains no submitted plot.</t>
  </si>
  <si>
    <t xml:space="preserve">Problem_Set_1_Python_Fundamentals.ipynb</t>
  </si>
  <si>
    <t xml:space="preserve">20701040</t>
  </si>
  <si>
    <t xml:space="preserve">Exercises 2 and 3 meet the requirements. The Python export contains all ten cosine evaluations and a written graph observation, but no plot is present in the submitted file.</t>
  </si>
  <si>
    <t xml:space="preserve">louise_poindexter_20701040.py</t>
  </si>
  <si>
    <t xml:space="preserve">Problemset1 (4).ipynb</t>
  </si>
  <si>
    <t xml:space="preserve">20698645</t>
  </si>
  <si>
    <t xml:space="preserve">Exercise 1 includes the ten values and plot evidence; Exercise 3 is correct. Exercise 2 collects the grades with dotted prompts but does not produce the required final report card after input.</t>
  </si>
  <si>
    <t xml:space="preserve">rivera_20698645.ipynb</t>
  </si>
  <si>
    <t xml:space="preserve">20684551</t>
  </si>
  <si>
    <t xml:space="preserve">The submitted notebook is the earlier multiplication-table warm-up rather than Problem Set 1. It executes, but none of the three Problem Set 1 exercises is submitted.</t>
  </si>
  <si>
    <t xml:space="preserve">Tien Dat Tran_20684551_Multi_table.ipynb</t>
  </si>
  <si>
    <t xml:space="preserve">All three exercises are complete, execute cleanly, and satisfy the requested structures/output; minor spelling errors in example names were not penalized.</t>
  </si>
  <si>
    <t xml:space="preserve">ProblemSet1_Sarah_Villarruel.ipynb</t>
  </si>
  <si>
    <t xml:space="preserve">20698411</t>
  </si>
  <si>
    <t xml:space="preserve">Exercise 1 includes plot evidence. Exercise 2 collects all inputs but does not print a final report card after collection. Exercise 3 uses a list rather than the required outer tuple.</t>
  </si>
  <si>
    <t xml:space="preserve">viramontes_christain20698411.ipynb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</si>
</sst>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Times New Roman"/>
      <family val="1"/>
    </font>
    <font>
      <b val="true"/>
      <sz val="14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5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DEBD2"/>
        </patternFill>
      </fill>
    </dxf>
    <dxf>
      <fill>
        <patternFill patternType="solid">
          <fgColor rgb="FFE4EDD1"/>
        </patternFill>
      </fill>
    </dxf>
    <dxf>
      <fill>
        <patternFill patternType="solid">
          <fgColor rgb="FFEEEFCF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5F0CD"/>
        </patternFill>
      </fill>
    </dxf>
    <dxf>
      <fill>
        <patternFill patternType="solid">
          <fgColor rgb="FFF8DCCC"/>
        </patternFill>
      </fill>
    </dxf>
    <dxf>
      <fill>
        <patternFill patternType="solid">
          <fgColor rgb="FFF9F1CD"/>
        </patternFill>
      </fill>
    </dxf>
    <dxf>
      <fill>
        <patternFill patternType="solid">
          <fgColor rgb="FFFBE4CC"/>
        </patternFill>
      </fill>
    </dxf>
    <dxf>
      <fill>
        <patternFill patternType="solid">
          <fgColor rgb="FFFCE7CC"/>
        </patternFill>
      </fill>
    </dxf>
    <dxf>
      <fill>
        <patternFill patternType="solid">
          <fgColor rgb="FFFCE9CC"/>
        </patternFill>
      </fill>
    </dxf>
    <dxf>
      <fill>
        <patternFill patternType="solid">
          <fgColor rgb="FFFDECCC"/>
        </patternFill>
      </fill>
    </dxf>
    <dxf>
      <fill>
        <patternFill patternType="solid">
          <fgColor rgb="FFFDEDCC"/>
        </patternFill>
      </fill>
    </dxf>
    <dxf>
      <fill>
        <patternFill patternType="solid">
          <fgColor rgb="FFFEEFCC"/>
        </patternFill>
      </fill>
    </dxf>
    <dxf>
      <fill>
        <patternFill patternType="solid">
          <fgColor rgb="FFFEF0CC"/>
        </patternFill>
      </fill>
    </dxf>
    <dxf>
      <fill>
        <patternFill patternType="solid">
          <fgColor rgb="FFFEF1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4472C4"/>
        </patternFill>
      </fill>
    </dxf>
    <dxf>
      <fill>
        <patternFill patternType="solid">
          <fgColor rgb="FFF8DBCC"/>
        </patternFill>
      </fill>
    </dxf>
    <dxf>
      <fill>
        <patternFill patternType="solid">
          <fgColor rgb="FFFCE8CC"/>
        </patternFill>
      </fill>
    </dxf>
    <dxf>
      <fill>
        <patternFill patternType="solid">
          <fgColor rgb="FFE1ECD1"/>
        </patternFill>
      </fill>
    </dxf>
    <dxf>
      <fill>
        <patternFill patternType="solid">
          <fgColor rgb="FFF8D9CC"/>
        </patternFill>
      </fill>
    </dxf>
    <dxf>
      <fill>
        <patternFill patternType="solid">
          <fgColor rgb="FFFBE6CC"/>
        </patternFill>
      </fill>
    </dxf>
    <dxf>
      <fill>
        <patternFill patternType="solid">
          <fgColor rgb="FFFCEACC"/>
        </patternFill>
      </fill>
    </dxf>
    <dxf>
      <fill>
        <patternFill patternType="solid">
          <fgColor rgb="FFFDEBCC"/>
        </patternFill>
      </fill>
    </dxf>
    <dxf>
      <fill>
        <patternFill patternType="solid">
          <fgColor rgb="FFE5EDD0"/>
        </patternFill>
      </fill>
    </dxf>
    <dxf>
      <fill>
        <patternFill patternType="solid">
          <fgColor rgb="FFF0EFCE"/>
        </patternFill>
      </fill>
    </dxf>
    <dxf>
      <fill>
        <patternFill patternType="solid">
          <fgColor rgb="FFF8F1CD"/>
        </patternFill>
      </fill>
    </dxf>
    <dxf>
      <fill>
        <patternFill patternType="solid">
          <fgColor rgb="FFFAE4CC"/>
        </patternFill>
      </fill>
    </dxf>
    <dxf>
      <fill>
        <patternFill patternType="solid">
          <fgColor rgb="FFFCF2CC"/>
        </patternFill>
      </fill>
    </dxf>
    <dxf>
      <fill>
        <patternFill patternType="solid">
          <fgColor rgb="FFFDEECC"/>
        </patternFill>
      </fill>
    </dxf>
    <dxf>
      <fill>
        <patternFill patternType="solid">
          <fgColor rgb="FFFEEE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radingAuditTable" displayName="GradingAuditTable" ref="A4:H25" headerRowCount="1" totalsRowCount="0" totalsRowShown="0">
  <tableColumns count="8">
    <tableColumn id="1" name="Last Name"/>
    <tableColumn id="2" name="Student ID"/>
    <tableColumn id="3" name="Completeness"/>
    <tableColumn id="4" name="Bug-Free"/>
    <tableColumn id="5" name="Meets Requirements"/>
    <tableColumn id="6" name="Preliminary Grade"/>
    <tableColumn id="7" name="Preliminary Notes"/>
    <tableColumn id="8" name="Submission File"/>
  </tableColumns>
</table>
</file>

<file path=xl/tables/table2.xml><?xml version="1.0" encoding="utf-8"?>
<table xmlns="http://schemas.openxmlformats.org/spreadsheetml/2006/main" id="2" name="PreliminaryGradesTable" displayName="PreliminaryGradesTable" ref="A1:C22" headerRowCount="1" totalsRowCount="0" totalsRowShown="0">
  <tableColumns count="3">
    <tableColumn id="1" name="Last Name"/>
    <tableColumn id="2" name="Student ID"/>
    <tableColumn id="3" name="Preliminary Grad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6875" defaultRowHeight="15" zeroHeight="false" outlineLevelRow="0" outlineLevelCol="0"/>
  <cols>
    <col collapsed="false" customWidth="true" hidden="false" outlineLevel="0" max="3" min="1" style="0" width="19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2" t="n">
        <v>20693695</v>
      </c>
      <c r="C2" s="3" t="n">
        <f aca="false">'Grading Audit'!F5</f>
        <v>87</v>
      </c>
    </row>
    <row r="3" customFormat="false" ht="13.8" hidden="false" customHeight="false" outlineLevel="0" collapsed="false">
      <c r="A3" s="0" t="s">
        <v>4</v>
      </c>
      <c r="B3" s="0" t="n">
        <v>20687939</v>
      </c>
      <c r="C3" s="3" t="n">
        <f aca="false">'Grading Audit'!F6</f>
        <v>97</v>
      </c>
    </row>
    <row r="4" customFormat="false" ht="15" hidden="false" customHeight="false" outlineLevel="0" collapsed="false">
      <c r="A4" s="0" t="s">
        <v>5</v>
      </c>
      <c r="B4" s="0" t="n">
        <v>20689943</v>
      </c>
      <c r="C4" s="3" t="n">
        <f aca="false">'Grading Audit'!F7</f>
        <v>94</v>
      </c>
    </row>
    <row r="5" customFormat="false" ht="15" hidden="false" customHeight="false" outlineLevel="0" collapsed="false">
      <c r="A5" s="0" t="s">
        <v>6</v>
      </c>
      <c r="B5" s="0" t="n">
        <v>20701493</v>
      </c>
      <c r="C5" s="3" t="n">
        <f aca="false">'Grading Audit'!F8</f>
        <v>88</v>
      </c>
    </row>
    <row r="6" customFormat="false" ht="15" hidden="false" customHeight="false" outlineLevel="0" collapsed="false">
      <c r="A6" s="0" t="s">
        <v>7</v>
      </c>
      <c r="B6" s="0" t="n">
        <v>20672759</v>
      </c>
      <c r="C6" s="3" t="n">
        <f aca="false">'Grading Audit'!F9</f>
        <v>99</v>
      </c>
    </row>
    <row r="7" customFormat="false" ht="13.8" hidden="false" customHeight="false" outlineLevel="0" collapsed="false">
      <c r="A7" s="0" t="s">
        <v>8</v>
      </c>
      <c r="B7" s="2" t="n">
        <v>20695109</v>
      </c>
      <c r="C7" s="3" t="n">
        <f aca="false">'Grading Audit'!F10</f>
        <v>69</v>
      </c>
    </row>
    <row r="8" customFormat="false" ht="15" hidden="false" customHeight="false" outlineLevel="0" collapsed="false">
      <c r="A8" s="0" t="s">
        <v>9</v>
      </c>
      <c r="B8" s="0" t="n">
        <v>20660590</v>
      </c>
      <c r="C8" s="3" t="n">
        <f aca="false">'Grading Audit'!F11</f>
        <v>57</v>
      </c>
    </row>
    <row r="9" customFormat="false" ht="15" hidden="false" customHeight="false" outlineLevel="0" collapsed="false">
      <c r="A9" s="0" t="s">
        <v>10</v>
      </c>
      <c r="B9" s="0" t="n">
        <v>20693757</v>
      </c>
      <c r="C9" s="3" t="n">
        <f aca="false">'Grading Audit'!F12</f>
        <v>86</v>
      </c>
    </row>
    <row r="10" customFormat="false" ht="15" hidden="false" customHeight="false" outlineLevel="0" collapsed="false">
      <c r="A10" s="0" t="s">
        <v>11</v>
      </c>
      <c r="B10" s="0" t="n">
        <v>20693381</v>
      </c>
      <c r="C10" s="3" t="n">
        <f aca="false">'Grading Audit'!F13</f>
        <v>74</v>
      </c>
    </row>
    <row r="11" customFormat="false" ht="15" hidden="false" customHeight="false" outlineLevel="0" collapsed="false">
      <c r="A11" s="0" t="s">
        <v>12</v>
      </c>
      <c r="B11" s="0" t="n">
        <v>20698625</v>
      </c>
      <c r="C11" s="3" t="n">
        <f aca="false">'Grading Audit'!F14</f>
        <v>81</v>
      </c>
    </row>
    <row r="12" customFormat="false" ht="13.8" hidden="false" customHeight="false" outlineLevel="0" collapsed="false">
      <c r="A12" s="0" t="s">
        <v>13</v>
      </c>
      <c r="B12" s="2" t="n">
        <v>20694059</v>
      </c>
      <c r="C12" s="3" t="n">
        <f aca="false">'Grading Audit'!F15</f>
        <v>76</v>
      </c>
    </row>
    <row r="13" customFormat="false" ht="15" hidden="false" customHeight="false" outlineLevel="0" collapsed="false">
      <c r="A13" s="0" t="s">
        <v>14</v>
      </c>
      <c r="B13" s="0" t="n">
        <v>20686013</v>
      </c>
      <c r="C13" s="3" t="n">
        <f aca="false">'Grading Audit'!F16</f>
        <v>100</v>
      </c>
    </row>
    <row r="14" customFormat="false" ht="15" hidden="false" customHeight="false" outlineLevel="0" collapsed="false">
      <c r="A14" s="0" t="s">
        <v>15</v>
      </c>
      <c r="B14" s="0" t="n">
        <v>2069448</v>
      </c>
      <c r="C14" s="3" t="n">
        <f aca="false">'Grading Audit'!F17</f>
        <v>82</v>
      </c>
    </row>
    <row r="15" customFormat="false" ht="15" hidden="false" customHeight="false" outlineLevel="0" collapsed="false">
      <c r="A15" s="0" t="s">
        <v>16</v>
      </c>
      <c r="B15" s="0" t="n">
        <v>20674779</v>
      </c>
      <c r="C15" s="3" t="n">
        <f aca="false">'Grading Audit'!F18</f>
        <v>100</v>
      </c>
    </row>
    <row r="16" customFormat="false" ht="13.8" hidden="false" customHeight="false" outlineLevel="0" collapsed="false">
      <c r="A16" s="0" t="s">
        <v>17</v>
      </c>
      <c r="B16" s="2" t="n">
        <v>20686181</v>
      </c>
      <c r="C16" s="3" t="n">
        <f aca="false">'Grading Audit'!F19</f>
        <v>91</v>
      </c>
    </row>
    <row r="17" customFormat="false" ht="15" hidden="false" customHeight="false" outlineLevel="0" collapsed="false">
      <c r="A17" s="0" t="s">
        <v>18</v>
      </c>
      <c r="B17" s="0" t="n">
        <v>20701040</v>
      </c>
      <c r="C17" s="3" t="n">
        <f aca="false">'Grading Audit'!F20</f>
        <v>91</v>
      </c>
    </row>
    <row r="18" customFormat="false" ht="13.8" hidden="false" customHeight="false" outlineLevel="0" collapsed="false">
      <c r="A18" s="0" t="s">
        <v>19</v>
      </c>
      <c r="B18" s="2" t="n">
        <v>20700028</v>
      </c>
      <c r="C18" s="3" t="n">
        <f aca="false">'Grading Audit'!F21</f>
        <v>100</v>
      </c>
    </row>
    <row r="19" customFormat="false" ht="15" hidden="false" customHeight="false" outlineLevel="0" collapsed="false">
      <c r="A19" s="0" t="s">
        <v>20</v>
      </c>
      <c r="B19" s="0" t="n">
        <v>20698645</v>
      </c>
      <c r="C19" s="3" t="n">
        <f aca="false">'Grading Audit'!F22</f>
        <v>92</v>
      </c>
    </row>
    <row r="20" customFormat="false" ht="15" hidden="false" customHeight="false" outlineLevel="0" collapsed="false">
      <c r="A20" s="0" t="s">
        <v>21</v>
      </c>
      <c r="B20" s="0" t="n">
        <v>20684551</v>
      </c>
      <c r="C20" s="3" t="n">
        <f aca="false">'Grading Audit'!F23</f>
        <v>33</v>
      </c>
    </row>
    <row r="21" customFormat="false" ht="13.8" hidden="false" customHeight="false" outlineLevel="0" collapsed="false">
      <c r="A21" s="0" t="s">
        <v>22</v>
      </c>
      <c r="B21" s="2" t="n">
        <v>20694193</v>
      </c>
      <c r="C21" s="3" t="n">
        <f aca="false">'Grading Audit'!F24</f>
        <v>100</v>
      </c>
    </row>
    <row r="22" customFormat="false" ht="15" hidden="false" customHeight="false" outlineLevel="0" collapsed="false">
      <c r="A22" s="0" t="s">
        <v>23</v>
      </c>
      <c r="B22" s="0" t="n">
        <v>20698411</v>
      </c>
      <c r="C22" s="3" t="n">
        <f aca="false">'Grading Audit'!F25</f>
        <v>89</v>
      </c>
    </row>
    <row r="23" customFormat="false" ht="12.8" hidden="false" customHeight="false" outlineLevel="0" collapsed="false">
      <c r="A23" s="0" t="s">
        <v>24</v>
      </c>
      <c r="B23" s="2" t="n">
        <v>20694193</v>
      </c>
      <c r="C23" s="0" t="n">
        <v>0</v>
      </c>
    </row>
    <row r="24" customFormat="false" ht="12.8" hidden="false" customHeight="false" outlineLevel="0" collapsed="false">
      <c r="A24" s="0" t="s">
        <v>25</v>
      </c>
      <c r="B24" s="2" t="n">
        <v>20696016</v>
      </c>
      <c r="C24" s="0" t="n">
        <v>0</v>
      </c>
    </row>
    <row r="25" customFormat="false" ht="12.8" hidden="false" customHeight="false" outlineLevel="0" collapsed="false">
      <c r="A25" s="4" t="s">
        <v>26</v>
      </c>
      <c r="B25" s="2" t="n">
        <v>20702102</v>
      </c>
      <c r="C25" s="4" t="n">
        <v>0</v>
      </c>
    </row>
  </sheetData>
  <conditionalFormatting sqref="C2:C22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8"/>
    <col collapsed="false" customWidth="true" hidden="false" outlineLevel="0" max="6" min="3" style="0" width="16"/>
    <col collapsed="false" customWidth="true" hidden="false" outlineLevel="0" max="7" min="7" style="0" width="54.99"/>
    <col collapsed="false" customWidth="true" hidden="false" outlineLevel="0" max="8" min="8" style="0" width="37.99"/>
  </cols>
  <sheetData>
    <row r="1" customFormat="false" ht="15" hidden="false" customHeight="false" outlineLevel="0" collapsed="false">
      <c r="A1" s="5" t="s">
        <v>27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6" t="s">
        <v>28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0</v>
      </c>
      <c r="B4" s="7" t="s">
        <v>1</v>
      </c>
      <c r="C4" s="7" t="s">
        <v>29</v>
      </c>
      <c r="D4" s="7" t="s">
        <v>30</v>
      </c>
      <c r="E4" s="7" t="s">
        <v>31</v>
      </c>
      <c r="F4" s="7" t="s">
        <v>2</v>
      </c>
      <c r="G4" s="7" t="s">
        <v>32</v>
      </c>
      <c r="H4" s="7" t="s">
        <v>33</v>
      </c>
    </row>
    <row r="5" customFormat="false" ht="16.4" hidden="false" customHeight="true" outlineLevel="0" collapsed="false">
      <c r="A5" s="0" t="s">
        <v>3</v>
      </c>
      <c r="B5" s="0" t="s">
        <v>34</v>
      </c>
      <c r="C5" s="3" t="n">
        <v>87</v>
      </c>
      <c r="D5" s="3" t="n">
        <v>100</v>
      </c>
      <c r="E5" s="3" t="n">
        <v>73</v>
      </c>
      <c r="F5" s="3" t="n">
        <f aca="false">ROUND(AVERAGE(C5:E5),0)</f>
        <v>87</v>
      </c>
      <c r="G5" s="6" t="s">
        <v>35</v>
      </c>
      <c r="H5" s="6" t="s">
        <v>36</v>
      </c>
    </row>
    <row r="6" customFormat="false" ht="15" hidden="false" customHeight="false" outlineLevel="0" collapsed="false">
      <c r="A6" s="0" t="s">
        <v>4</v>
      </c>
      <c r="B6" s="0" t="s">
        <v>34</v>
      </c>
      <c r="C6" s="3" t="n">
        <v>100</v>
      </c>
      <c r="D6" s="3" t="n">
        <v>100</v>
      </c>
      <c r="E6" s="3" t="n">
        <v>90</v>
      </c>
      <c r="F6" s="3" t="n">
        <f aca="false">ROUND(AVERAGE(C6:E6),0)</f>
        <v>97</v>
      </c>
      <c r="G6" s="6" t="s">
        <v>37</v>
      </c>
      <c r="H6" s="6" t="s">
        <v>38</v>
      </c>
    </row>
    <row r="7" customFormat="false" ht="15" hidden="false" customHeight="false" outlineLevel="0" collapsed="false">
      <c r="A7" s="0" t="s">
        <v>5</v>
      </c>
      <c r="B7" s="0" t="s">
        <v>39</v>
      </c>
      <c r="C7" s="3" t="n">
        <v>100</v>
      </c>
      <c r="D7" s="3" t="n">
        <v>100</v>
      </c>
      <c r="E7" s="3" t="n">
        <v>83</v>
      </c>
      <c r="F7" s="3" t="n">
        <f aca="false">ROUND(AVERAGE(C7:E7),0)</f>
        <v>94</v>
      </c>
      <c r="G7" s="6" t="s">
        <v>40</v>
      </c>
      <c r="H7" s="6" t="s">
        <v>41</v>
      </c>
    </row>
    <row r="8" customFormat="false" ht="15" hidden="false" customHeight="false" outlineLevel="0" collapsed="false">
      <c r="A8" s="0" t="s">
        <v>6</v>
      </c>
      <c r="B8" s="0" t="s">
        <v>42</v>
      </c>
      <c r="C8" s="3" t="n">
        <v>87</v>
      </c>
      <c r="D8" s="3" t="n">
        <v>100</v>
      </c>
      <c r="E8" s="3" t="n">
        <v>77</v>
      </c>
      <c r="F8" s="3" t="n">
        <f aca="false">ROUND(AVERAGE(C8:E8),0)</f>
        <v>88</v>
      </c>
      <c r="G8" s="6" t="s">
        <v>43</v>
      </c>
      <c r="H8" s="6" t="s">
        <v>44</v>
      </c>
    </row>
    <row r="9" customFormat="false" ht="15" hidden="false" customHeight="false" outlineLevel="0" collapsed="false">
      <c r="A9" s="0" t="s">
        <v>7</v>
      </c>
      <c r="B9" s="0" t="s">
        <v>45</v>
      </c>
      <c r="C9" s="3" t="n">
        <v>100</v>
      </c>
      <c r="D9" s="3" t="n">
        <v>100</v>
      </c>
      <c r="E9" s="3" t="n">
        <v>98</v>
      </c>
      <c r="F9" s="3" t="n">
        <f aca="false">ROUND(AVERAGE(C9:E9),0)</f>
        <v>99</v>
      </c>
      <c r="G9" s="6" t="s">
        <v>46</v>
      </c>
      <c r="H9" s="6" t="s">
        <v>47</v>
      </c>
    </row>
    <row r="10" customFormat="false" ht="15" hidden="false" customHeight="false" outlineLevel="0" collapsed="false">
      <c r="A10" s="0" t="s">
        <v>8</v>
      </c>
      <c r="B10" s="0" t="s">
        <v>34</v>
      </c>
      <c r="C10" s="3" t="n">
        <v>70</v>
      </c>
      <c r="D10" s="3" t="n">
        <v>100</v>
      </c>
      <c r="E10" s="3" t="n">
        <v>37</v>
      </c>
      <c r="F10" s="3" t="n">
        <f aca="false">ROUND(AVERAGE(C10:E10),0)</f>
        <v>69</v>
      </c>
      <c r="G10" s="6" t="s">
        <v>48</v>
      </c>
      <c r="H10" s="6" t="s">
        <v>49</v>
      </c>
    </row>
    <row r="11" customFormat="false" ht="15" hidden="false" customHeight="false" outlineLevel="0" collapsed="false">
      <c r="A11" s="0" t="s">
        <v>9</v>
      </c>
      <c r="B11" s="0" t="s">
        <v>50</v>
      </c>
      <c r="C11" s="3" t="n">
        <v>37</v>
      </c>
      <c r="D11" s="3" t="n">
        <v>100</v>
      </c>
      <c r="E11" s="3" t="n">
        <v>33</v>
      </c>
      <c r="F11" s="3" t="n">
        <f aca="false">ROUND(AVERAGE(C11:E11),0)</f>
        <v>57</v>
      </c>
      <c r="G11" s="6" t="s">
        <v>51</v>
      </c>
      <c r="H11" s="6" t="s">
        <v>52</v>
      </c>
    </row>
    <row r="12" customFormat="false" ht="15" hidden="false" customHeight="false" outlineLevel="0" collapsed="false">
      <c r="A12" s="0" t="s">
        <v>10</v>
      </c>
      <c r="B12" s="0" t="s">
        <v>53</v>
      </c>
      <c r="C12" s="3" t="n">
        <v>83</v>
      </c>
      <c r="D12" s="3" t="n">
        <v>100</v>
      </c>
      <c r="E12" s="3" t="n">
        <v>75</v>
      </c>
      <c r="F12" s="3" t="n">
        <f aca="false">ROUND(AVERAGE(C12:E12),0)</f>
        <v>86</v>
      </c>
      <c r="G12" s="6" t="s">
        <v>54</v>
      </c>
      <c r="H12" s="6" t="s">
        <v>55</v>
      </c>
    </row>
    <row r="13" customFormat="false" ht="15" hidden="false" customHeight="false" outlineLevel="0" collapsed="false">
      <c r="A13" s="0" t="s">
        <v>11</v>
      </c>
      <c r="B13" s="0" t="s">
        <v>56</v>
      </c>
      <c r="C13" s="3" t="n">
        <v>87</v>
      </c>
      <c r="D13" s="3" t="n">
        <v>67</v>
      </c>
      <c r="E13" s="3" t="n">
        <v>67</v>
      </c>
      <c r="F13" s="3" t="n">
        <f aca="false">ROUND(AVERAGE(C13:E13),0)</f>
        <v>74</v>
      </c>
      <c r="G13" s="6" t="s">
        <v>57</v>
      </c>
      <c r="H13" s="6" t="s">
        <v>58</v>
      </c>
    </row>
    <row r="14" customFormat="false" ht="15" hidden="false" customHeight="false" outlineLevel="0" collapsed="false">
      <c r="A14" s="0" t="s">
        <v>12</v>
      </c>
      <c r="B14" s="0" t="s">
        <v>59</v>
      </c>
      <c r="C14" s="3" t="n">
        <v>80</v>
      </c>
      <c r="D14" s="3" t="n">
        <v>100</v>
      </c>
      <c r="E14" s="3" t="n">
        <v>63</v>
      </c>
      <c r="F14" s="3" t="n">
        <f aca="false">ROUND(AVERAGE(C14:E14),0)</f>
        <v>81</v>
      </c>
      <c r="G14" s="6" t="s">
        <v>60</v>
      </c>
      <c r="H14" s="6" t="s">
        <v>61</v>
      </c>
    </row>
    <row r="15" customFormat="false" ht="15" hidden="false" customHeight="false" outlineLevel="0" collapsed="false">
      <c r="A15" s="0" t="s">
        <v>13</v>
      </c>
      <c r="B15" s="0" t="s">
        <v>34</v>
      </c>
      <c r="C15" s="3" t="n">
        <v>90</v>
      </c>
      <c r="D15" s="3" t="n">
        <v>67</v>
      </c>
      <c r="E15" s="3" t="n">
        <v>70</v>
      </c>
      <c r="F15" s="3" t="n">
        <f aca="false">ROUND(AVERAGE(C15:E15),0)</f>
        <v>76</v>
      </c>
      <c r="G15" s="6" t="s">
        <v>62</v>
      </c>
      <c r="H15" s="6" t="s">
        <v>63</v>
      </c>
    </row>
    <row r="16" customFormat="false" ht="15" hidden="false" customHeight="false" outlineLevel="0" collapsed="false">
      <c r="A16" s="0" t="s">
        <v>14</v>
      </c>
      <c r="B16" s="0" t="s">
        <v>64</v>
      </c>
      <c r="C16" s="3" t="n">
        <v>100</v>
      </c>
      <c r="D16" s="3" t="n">
        <v>100</v>
      </c>
      <c r="E16" s="3" t="n">
        <v>100</v>
      </c>
      <c r="F16" s="3" t="n">
        <f aca="false">ROUND(AVERAGE(C16:E16),0)</f>
        <v>100</v>
      </c>
      <c r="G16" s="6" t="s">
        <v>65</v>
      </c>
      <c r="H16" s="6" t="s">
        <v>66</v>
      </c>
    </row>
    <row r="17" customFormat="false" ht="15" hidden="false" customHeight="false" outlineLevel="0" collapsed="false">
      <c r="A17" s="0" t="s">
        <v>15</v>
      </c>
      <c r="B17" s="0" t="s">
        <v>67</v>
      </c>
      <c r="C17" s="3" t="n">
        <v>80</v>
      </c>
      <c r="D17" s="3" t="n">
        <v>100</v>
      </c>
      <c r="E17" s="3" t="n">
        <v>67</v>
      </c>
      <c r="F17" s="3" t="n">
        <f aca="false">ROUND(AVERAGE(C17:E17),0)</f>
        <v>82</v>
      </c>
      <c r="G17" s="6" t="s">
        <v>68</v>
      </c>
      <c r="H17" s="6" t="s">
        <v>69</v>
      </c>
    </row>
    <row r="18" customFormat="false" ht="15" hidden="false" customHeight="false" outlineLevel="0" collapsed="false">
      <c r="A18" s="0" t="s">
        <v>16</v>
      </c>
      <c r="B18" s="0" t="s">
        <v>70</v>
      </c>
      <c r="C18" s="3" t="n">
        <v>100</v>
      </c>
      <c r="D18" s="3" t="n">
        <v>100</v>
      </c>
      <c r="E18" s="3" t="n">
        <v>100</v>
      </c>
      <c r="F18" s="3" t="n">
        <f aca="false">ROUND(AVERAGE(C18:E18),0)</f>
        <v>100</v>
      </c>
      <c r="G18" s="6" t="s">
        <v>65</v>
      </c>
      <c r="H18" s="6" t="s">
        <v>71</v>
      </c>
    </row>
    <row r="19" customFormat="false" ht="15" hidden="false" customHeight="false" outlineLevel="0" collapsed="false">
      <c r="A19" s="0" t="s">
        <v>17</v>
      </c>
      <c r="B19" s="0" t="s">
        <v>34</v>
      </c>
      <c r="C19" s="3" t="n">
        <v>87</v>
      </c>
      <c r="D19" s="3" t="n">
        <v>100</v>
      </c>
      <c r="E19" s="3" t="n">
        <v>87</v>
      </c>
      <c r="F19" s="3" t="n">
        <f aca="false">ROUND(AVERAGE(C19:E19),0)</f>
        <v>91</v>
      </c>
      <c r="G19" s="6" t="s">
        <v>72</v>
      </c>
      <c r="H19" s="6" t="s">
        <v>73</v>
      </c>
    </row>
    <row r="20" customFormat="false" ht="15" hidden="false" customHeight="false" outlineLevel="0" collapsed="false">
      <c r="A20" s="0" t="s">
        <v>18</v>
      </c>
      <c r="B20" s="0" t="s">
        <v>74</v>
      </c>
      <c r="C20" s="3" t="n">
        <v>87</v>
      </c>
      <c r="D20" s="3" t="n">
        <v>100</v>
      </c>
      <c r="E20" s="3" t="n">
        <v>87</v>
      </c>
      <c r="F20" s="3" t="n">
        <f aca="false">ROUND(AVERAGE(C20:E20),0)</f>
        <v>91</v>
      </c>
      <c r="G20" s="6" t="s">
        <v>75</v>
      </c>
      <c r="H20" s="6" t="s">
        <v>76</v>
      </c>
    </row>
    <row r="21" customFormat="false" ht="15" hidden="false" customHeight="false" outlineLevel="0" collapsed="false">
      <c r="A21" s="0" t="s">
        <v>19</v>
      </c>
      <c r="B21" s="0" t="s">
        <v>34</v>
      </c>
      <c r="C21" s="3" t="n">
        <v>100</v>
      </c>
      <c r="D21" s="3" t="n">
        <v>100</v>
      </c>
      <c r="E21" s="3" t="n">
        <v>100</v>
      </c>
      <c r="F21" s="3" t="n">
        <f aca="false">ROUND(AVERAGE(C21:E21),0)</f>
        <v>100</v>
      </c>
      <c r="G21" s="6" t="s">
        <v>65</v>
      </c>
      <c r="H21" s="6" t="s">
        <v>77</v>
      </c>
    </row>
    <row r="22" customFormat="false" ht="15" hidden="false" customHeight="false" outlineLevel="0" collapsed="false">
      <c r="A22" s="0" t="s">
        <v>20</v>
      </c>
      <c r="B22" s="0" t="s">
        <v>78</v>
      </c>
      <c r="C22" s="3" t="n">
        <v>90</v>
      </c>
      <c r="D22" s="3" t="n">
        <v>100</v>
      </c>
      <c r="E22" s="3" t="n">
        <v>87</v>
      </c>
      <c r="F22" s="3" t="n">
        <f aca="false">ROUND(AVERAGE(C22:E22),0)</f>
        <v>92</v>
      </c>
      <c r="G22" s="6" t="s">
        <v>79</v>
      </c>
      <c r="H22" s="6" t="s">
        <v>80</v>
      </c>
    </row>
    <row r="23" customFormat="false" ht="15" hidden="false" customHeight="false" outlineLevel="0" collapsed="false">
      <c r="A23" s="0" t="s">
        <v>21</v>
      </c>
      <c r="B23" s="0" t="s">
        <v>81</v>
      </c>
      <c r="C23" s="3" t="n">
        <v>0</v>
      </c>
      <c r="D23" s="3" t="n">
        <v>100</v>
      </c>
      <c r="E23" s="3" t="n">
        <v>0</v>
      </c>
      <c r="F23" s="3" t="n">
        <f aca="false">ROUND(AVERAGE(C23:E23),0)</f>
        <v>33</v>
      </c>
      <c r="G23" s="6" t="s">
        <v>82</v>
      </c>
      <c r="H23" s="6" t="s">
        <v>83</v>
      </c>
    </row>
    <row r="24" customFormat="false" ht="15" hidden="false" customHeight="false" outlineLevel="0" collapsed="false">
      <c r="A24" s="0" t="s">
        <v>22</v>
      </c>
      <c r="B24" s="0" t="s">
        <v>34</v>
      </c>
      <c r="C24" s="3" t="n">
        <v>100</v>
      </c>
      <c r="D24" s="3" t="n">
        <v>100</v>
      </c>
      <c r="E24" s="3" t="n">
        <v>100</v>
      </c>
      <c r="F24" s="3" t="n">
        <f aca="false">ROUND(AVERAGE(C24:E24),0)</f>
        <v>100</v>
      </c>
      <c r="G24" s="6" t="s">
        <v>84</v>
      </c>
      <c r="H24" s="6" t="s">
        <v>85</v>
      </c>
    </row>
    <row r="25" customFormat="false" ht="15" hidden="false" customHeight="false" outlineLevel="0" collapsed="false">
      <c r="A25" s="0" t="s">
        <v>23</v>
      </c>
      <c r="B25" s="0" t="s">
        <v>86</v>
      </c>
      <c r="C25" s="3" t="n">
        <v>90</v>
      </c>
      <c r="D25" s="3" t="n">
        <v>100</v>
      </c>
      <c r="E25" s="3" t="n">
        <v>77</v>
      </c>
      <c r="F25" s="3" t="n">
        <f aca="false">ROUND(AVERAGE(C25:E25),0)</f>
        <v>89</v>
      </c>
      <c r="G25" s="6" t="s">
        <v>87</v>
      </c>
      <c r="H25" s="6" t="s">
        <v>88</v>
      </c>
    </row>
  </sheetData>
  <mergeCells count="2">
    <mergeCell ref="A1:H1"/>
    <mergeCell ref="A2:H2"/>
  </mergeCells>
  <conditionalFormatting sqref="C5:F25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2026-09-03T17:37:46Z</dcterms:modified>
  <cp:revision>8</cp:revision>
  <dc:subject/>
  <dc:title/>
</cp:coreProperties>
</file>