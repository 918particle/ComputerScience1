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973f7b3f4e4a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liminary Grades" sheetId="1" r:id="Rea67933754ac42ef"/>
    <x:sheet xmlns:r="http://schemas.openxmlformats.org/officeDocument/2006/relationships" name="Grading Audit" sheetId="2" r:id="Rcc7d998c40a740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22309553b9423a" /><Relationship Type="http://schemas.openxmlformats.org/officeDocument/2006/relationships/theme" Target="/xl/theme/theme1.xml" Id="R67f0573c4bde4015" /><Relationship Type="http://schemas.openxmlformats.org/officeDocument/2006/relationships/sharedStrings" Target="/xl/sharedStrings.xml" Id="Rc1f7a606845a47fb" /><Relationship Type="http://schemas.openxmlformats.org/officeDocument/2006/relationships/worksheet" Target="/xl/worksheets/sheet1.xml" Id="Rea67933754ac42ef" /><Relationship Type="http://schemas.openxmlformats.org/officeDocument/2006/relationships/worksheet" Target="/xl/worksheets/sheet2.xml" Id="Rcc7d998c40a740cf" /></Relationships>
</file>

<file path=xl/tables/table1.xml><?xml version="1.0" encoding="utf-8"?>
<x:table xmlns:x="http://schemas.openxmlformats.org/spreadsheetml/2006/main" id="1" name="PreliminaryGradesTable" displayName="PreliminaryGradesTable" ref="A1:C22" headerRowCount="1" totalsRowCount="0" totalsRowShown="0">
  <x:tableColumns count="3">
    <x:tableColumn id="1" name="Last Name"/>
    <x:tableColumn id="2" name="Student ID"/>
    <x:tableColumn id="3" name="Preliminary Grad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radingAuditTable" displayName="GradingAuditTable" ref="A4:H25" headerRowCount="1" totalsRowCount="0" totalsRowShown="0">
  <x:tableColumns count="8">
    <x:tableColumn id="1" name="Last Name"/>
    <x:tableColumn id="2" name="Student ID"/>
    <x:tableColumn id="3" name="Completeness"/>
    <x:tableColumn id="4" name="Bug-Free"/>
    <x:tableColumn id="5" name="Meets Requirements"/>
    <x:tableColumn id="6" name="Preliminary Grade"/>
    <x:tableColumn id="7" name="Preliminary Notes"/>
    <x:tableColumn id="8" name="Submission Fi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4502bfb37124f4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8c8a999e8da4691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>
      <x:c r="A1" s="5" t="str">
        <x:v>Last Name</x:v>
      </x:c>
      <x:c r="B1" s="5" t="str">
        <x:v>Student ID</x:v>
      </x:c>
      <x:c r="C1" s="5" t="str">
        <x:v>Preliminary Grade</x:v>
      </x:c>
    </x:row>
    <x:row r="2">
      <x:c r="A2" t="str">
        <x:v>Aguayo</x:v>
      </x:c>
      <x:c r="B2" t="str">
        <x:v>Not found</x:v>
      </x:c>
      <x:c r="C2" s="10" t="n">
        <x:f>'Grading Audit'!F5</x:f>
        <x:v>87</x:v>
      </x:c>
    </x:row>
    <x:row r="3">
      <x:c r="A3" t="str">
        <x:v>Catano</x:v>
      </x:c>
      <x:c r="B3" t="str">
        <x:v>20696016</x:v>
      </x:c>
      <x:c r="C3" s="10" t="n">
        <x:f>'Grading Audit'!F6</x:f>
        <x:v>91</x:v>
      </x:c>
    </x:row>
    <x:row r="4">
      <x:c r="A4" t="str">
        <x:v>Dong</x:v>
      </x:c>
      <x:c r="B4" t="str">
        <x:v>Not found</x:v>
      </x:c>
      <x:c r="C4" s="10" t="n">
        <x:f>'Grading Audit'!F7</x:f>
        <x:v>97</x:v>
      </x:c>
    </x:row>
    <x:row r="5">
      <x:c r="A5" t="str">
        <x:v>Garcia</x:v>
      </x:c>
      <x:c r="B5" t="str">
        <x:v>20689943</x:v>
      </x:c>
      <x:c r="C5" s="10" t="n">
        <x:f>'Grading Audit'!F8</x:f>
        <x:v>94</x:v>
      </x:c>
    </x:row>
    <x:row r="6">
      <x:c r="A6" t="str">
        <x:v>Guerrero</x:v>
      </x:c>
      <x:c r="B6" t="str">
        <x:v>20701493</x:v>
      </x:c>
      <x:c r="C6" s="10" t="n">
        <x:f>'Grading Audit'!F9</x:f>
        <x:v>88</x:v>
      </x:c>
    </x:row>
    <x:row r="7">
      <x:c r="A7" t="str">
        <x:v>Hamilton</x:v>
      </x:c>
      <x:c r="B7" t="str">
        <x:v>20672759</x:v>
      </x:c>
      <x:c r="C7" s="10" t="n">
        <x:f>'Grading Audit'!F10</x:f>
        <x:v>99</x:v>
      </x:c>
    </x:row>
    <x:row r="8">
      <x:c r="A8" t="str">
        <x:v>Harrison</x:v>
      </x:c>
      <x:c r="B8" t="str">
        <x:v>Not found</x:v>
      </x:c>
      <x:c r="C8" s="10" t="n">
        <x:f>'Grading Audit'!F11</x:f>
        <x:v>69</x:v>
      </x:c>
    </x:row>
    <x:row r="9">
      <x:c r="A9" t="str">
        <x:v>Hossain</x:v>
      </x:c>
      <x:c r="B9" t="str">
        <x:v>20660590</x:v>
      </x:c>
      <x:c r="C9" s="10" t="n">
        <x:f>'Grading Audit'!F12</x:f>
        <x:v>57</x:v>
      </x:c>
    </x:row>
    <x:row r="10">
      <x:c r="A10" t="str">
        <x:v>Lam</x:v>
      </x:c>
      <x:c r="B10" t="str">
        <x:v>20693757</x:v>
      </x:c>
      <x:c r="C10" s="10" t="n">
        <x:f>'Grading Audit'!F13</x:f>
        <x:v>86</x:v>
      </x:c>
    </x:row>
    <x:row r="11">
      <x:c r="A11" t="str">
        <x:v>Locashio</x:v>
      </x:c>
      <x:c r="B11" t="str">
        <x:v>20693381</x:v>
      </x:c>
      <x:c r="C11" s="10" t="n">
        <x:f>'Grading Audit'!F14</x:f>
        <x:v>74</x:v>
      </x:c>
    </x:row>
    <x:row r="12">
      <x:c r="A12" t="str">
        <x:v>Martinez-Amaro</x:v>
      </x:c>
      <x:c r="B12" t="str">
        <x:v>20698625</x:v>
      </x:c>
      <x:c r="C12" s="10" t="n">
        <x:f>'Grading Audit'!F15</x:f>
        <x:v>81</x:v>
      </x:c>
    </x:row>
    <x:row r="13">
      <x:c r="A13" t="str">
        <x:v>Moore</x:v>
      </x:c>
      <x:c r="B13" t="str">
        <x:v>Not found</x:v>
      </x:c>
      <x:c r="C13" s="10" t="n">
        <x:f>'Grading Audit'!F16</x:f>
        <x:v>76</x:v>
      </x:c>
    </x:row>
    <x:row r="14">
      <x:c r="A14" t="str">
        <x:v>Needles</x:v>
      </x:c>
      <x:c r="B14" t="str">
        <x:v>20686013</x:v>
      </x:c>
      <x:c r="C14" s="10" t="n">
        <x:f>'Grading Audit'!F17</x:f>
        <x:v>100</x:v>
      </x:c>
    </x:row>
    <x:row r="15">
      <x:c r="A15" t="str">
        <x:v>Nguyen</x:v>
      </x:c>
      <x:c r="B15" t="str">
        <x:v>2069448</x:v>
      </x:c>
      <x:c r="C15" s="10" t="n">
        <x:f>'Grading Audit'!F18</x:f>
        <x:v>82</x:v>
      </x:c>
    </x:row>
    <x:row r="16">
      <x:c r="A16" t="str">
        <x:v>Nishikawa</x:v>
      </x:c>
      <x:c r="B16" t="str">
        <x:v>20697206</x:v>
      </x:c>
      <x:c r="C16" s="10" t="n">
        <x:f>'Grading Audit'!F19</x:f>
        <x:v>85</x:v>
      </x:c>
    </x:row>
    <x:row r="17">
      <x:c r="A17" t="str">
        <x:v>Ögren</x:v>
      </x:c>
      <x:c r="B17" t="str">
        <x:v>20674779</x:v>
      </x:c>
      <x:c r="C17" s="10" t="n">
        <x:f>'Grading Audit'!F20</x:f>
        <x:v>100</x:v>
      </x:c>
    </x:row>
    <x:row r="18">
      <x:c r="A18" t="str">
        <x:v>Orduno-Chavez</x:v>
      </x:c>
      <x:c r="B18" t="str">
        <x:v>Not found</x:v>
      </x:c>
      <x:c r="C18" s="10" t="n">
        <x:f>'Grading Audit'!F21</x:f>
        <x:v>91</x:v>
      </x:c>
    </x:row>
    <x:row r="19">
      <x:c r="A19" t="str">
        <x:v>Poindexter</x:v>
      </x:c>
      <x:c r="B19" t="str">
        <x:v>20701040</x:v>
      </x:c>
      <x:c r="C19" s="10" t="n">
        <x:f>'Grading Audit'!F22</x:f>
        <x:v>91</x:v>
      </x:c>
    </x:row>
    <x:row r="20">
      <x:c r="A20" t="str">
        <x:v>Prola</x:v>
      </x:c>
      <x:c r="B20" t="str">
        <x:v>Not found</x:v>
      </x:c>
      <x:c r="C20" s="10" t="n">
        <x:f>'Grading Audit'!F23</x:f>
        <x:v>100</x:v>
      </x:c>
    </x:row>
    <x:row r="21">
      <x:c r="A21" t="str">
        <x:v>Rivera</x:v>
      </x:c>
      <x:c r="B21" t="str">
        <x:v>20698645</x:v>
      </x:c>
      <x:c r="C21" s="10" t="n">
        <x:f>'Grading Audit'!F24</x:f>
        <x:v>92</x:v>
      </x:c>
    </x:row>
    <x:row r="22">
      <x:c r="A22" t="str">
        <x:v>Tran</x:v>
      </x:c>
      <x:c r="B22" t="str">
        <x:v>20684551</x:v>
      </x:c>
      <x:c r="C22" s="10" t="n">
        <x:f>'Grading Audit'!F25</x:f>
        <x:v>33</x:v>
      </x:c>
    </x:row>
    <x:row r="23">
      <x:c r="A23" t="str">
        <x:v>Villarruel</x:v>
      </x:c>
      <x:c r="B23" t="str">
        <x:v>Not found</x:v>
      </x:c>
      <x:c r="C23" t="n">
        <x:f>'Grading Audit'!F26</x:f>
        <x:v>100</x:v>
      </x:c>
    </x:row>
    <x:row r="24">
      <x:c r="A24" t="str">
        <x:v>Viramontes</x:v>
      </x:c>
      <x:c r="B24" t="str">
        <x:v>20698411</x:v>
      </x:c>
      <x:c r="C24" t="n">
        <x:f>'Grading Audit'!F27</x:f>
        <x:v>89</x:v>
      </x:c>
    </x:row>
  </x:sheetData>
  <x:conditionalFormatting sqref="C2:C22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4502bfb37124f4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55" hidden="0" customWidth="1"/>
    <x:col min="8" max="8" width="38" hidden="0" customWidth="1"/>
  </x:cols>
  <x:sheetData>
    <x:row r="1">
      <x:c r="A1" s="14" t="str">
        <x:v>Problem Set 1 Regrade — Current Submissions</x:v>
      </x:c>
    </x:row>
    <x:row r="2">
      <x:c r="A2" s="18" t="str">
        <x:v>Rubric: Completeness, Bug-Free Execution, and Meets Requirements are equally weighted. Preliminary Grade = rounded mean of the three category scores. Newly submitted work was graded under the same standard; unchanged previously graded submissions retain their prior audit scores.</x:v>
      </x:c>
    </x:row>
    <x:row r="4">
      <x:c r="A4" s="24" t="str">
        <x:v>Last Name</x:v>
      </x:c>
      <x:c r="B4" s="24" t="str">
        <x:v>Student ID</x:v>
      </x:c>
      <x:c r="C4" s="24" t="str">
        <x:v>Completeness</x:v>
      </x:c>
      <x:c r="D4" s="24" t="str">
        <x:v>Bug-Free</x:v>
      </x:c>
      <x:c r="E4" s="24" t="str">
        <x:v>Meets Requirements</x:v>
      </x:c>
      <x:c r="F4" s="24" t="str">
        <x:v>Preliminary Grade</x:v>
      </x:c>
      <x:c r="G4" s="24" t="str">
        <x:v>Preliminary Notes</x:v>
      </x:c>
      <x:c r="H4" s="24" t="str">
        <x:v>Submission File</x:v>
      </x:c>
    </x:row>
    <x:row r="5">
      <x:c r="A5" t="str">
        <x:v>Aguayo</x:v>
      </x:c>
      <x:c r="B5" t="str">
        <x:v>Not found</x:v>
      </x:c>
      <x:c r="C5" s="10" t="n">
        <x:v>87</x:v>
      </x:c>
      <x:c r="D5" s="10" t="n">
        <x:v>100</x:v>
      </x:c>
      <x:c r="E5" s="10" t="n">
        <x:v>73</x:v>
      </x:c>
      <x:c r="F5" s="10" t="n">
        <x:f>ROUND(AVERAGE(C5:E5),0)</x:f>
        <x:v>87</x:v>
      </x:c>
      <x:c r="G5" s="18" t="str">
        <x:v>All three exercises are coded; Exercise 1 has no submitted plot. Exercise 3 uses tuples where the required inner course/student containers were lists.</x:v>
      </x:c>
      <x:c r="H5" s="18" t="str">
        <x:v>Problem_Set__1.ipynb</x:v>
      </x:c>
    </x:row>
    <x:row r="6">
      <x:c r="A6" t="str">
        <x:v>Catano</x:v>
      </x:c>
      <x:c r="B6" t="str">
        <x:v>20696016</x:v>
      </x:c>
      <x:c r="C6" s="10" t="n">
        <x:v>87</x:v>
      </x:c>
      <x:c r="D6" s="10" t="n">
        <x:v>100</x:v>
      </x:c>
      <x:c r="E6" s="10" t="n">
        <x:v>87</x:v>
      </x:c>
      <x:c r="F6" s="10" t="n">
        <x:f>ROUND(AVERAGE(C6:E6),0)</x:f>
        <x:v>91</x:v>
      </x:c>
      <x:c r="G6" s="18" t="str">
        <x:v>New submission. Exercises 2 and 3 are complete and correctly structured. Exercise 1 evaluates and prints all ten required cosine values, but the required spreadsheet x-y plot and approximate first zero-crossing identification are not submitted.</x:v>
      </x:c>
      <x:c r="H6" s="18" t="str">
        <x:v>Enrique_Catano_2069016_Problem_Set_1.ipynb</x:v>
      </x:c>
    </x:row>
    <x:row r="7">
      <x:c r="A7" t="str">
        <x:v>Dong</x:v>
      </x:c>
      <x:c r="B7" t="str">
        <x:v>Not found</x:v>
      </x:c>
      <x:c r="C7" s="10" t="n">
        <x:v>100</x:v>
      </x:c>
      <x:c r="D7" s="10" t="n">
        <x:v>100</x:v>
      </x:c>
      <x:c r="E7" s="10" t="n">
        <x:v>90</x:v>
      </x:c>
      <x:c r="F7" s="10" t="n">
        <x:f>ROUND(AVERAGE(C7:E7),0)</x:f>
        <x:v>97</x:v>
      </x:c>
      <x:c r="G7" s="18" t="str">
        <x:v>Exercises 1 and 2 meet the requirements. Exercise 3 has the right roster contents, but the final outer object is a list enclosed in parentheses rather than a 3-element tuple.</x:v>
      </x:c>
      <x:c r="H7" s="18" t="str">
        <x:v>Bao - Homework 1 - Computer Science 1.pdf</x:v>
      </x:c>
    </x:row>
    <x:row r="8">
      <x:c r="A8" t="str">
        <x:v>Garcia</x:v>
      </x:c>
      <x:c r="B8" t="str">
        <x:v>20689943</x:v>
      </x:c>
      <x:c r="C8" s="10" t="n">
        <x:v>100</x:v>
      </x:c>
      <x:c r="D8" s="10" t="n">
        <x:v>100</x:v>
      </x:c>
      <x:c r="E8" s="10" t="n">
        <x:v>83</x:v>
      </x:c>
      <x:c r="F8" s="10" t="n">
        <x:f>ROUND(AVERAGE(C8:E8),0)</x:f>
        <x:v>94</x:v>
      </x:c>
      <x:c r="G8" s="18" t="str">
        <x:v>Complete and executable. Exercise 1 plots in Python rather than via spreadsheet; Exercise 3 has the required tuple/list structure but substantially different roster data/course naming.</x:v>
      </x:c>
      <x:c r="H8" s="18" t="str">
        <x:v>Garcia_20689943.ipynb</x:v>
      </x:c>
    </x:row>
    <x:row r="9">
      <x:c r="A9" t="str">
        <x:v>Guerrero</x:v>
      </x:c>
      <x:c r="B9" t="str">
        <x:v>20701493</x:v>
      </x:c>
      <x:c r="C9" s="10" t="n">
        <x:v>87</x:v>
      </x:c>
      <x:c r="D9" s="10" t="n">
        <x:v>100</x:v>
      </x:c>
      <x:c r="E9" s="10" t="n">
        <x:v>77</x:v>
      </x:c>
      <x:c r="F9" s="10" t="n">
        <x:f>ROUND(AVERAGE(C9:E9),0)</x:f>
        <x:v>88</x:v>
      </x:c>
      <x:c r="G9" s="18" t="str">
        <x:v>No submitted plot for Exercise 1. Exercise 3 has the requested tuple/list structure, but the Calculus and Physics student lists do not match the assigned roster data.</x:v>
      </x:c>
      <x:c r="H9" s="18" t="str">
        <x:v>Maggy_Guerrero_20701493.ipynb</x:v>
      </x:c>
    </x:row>
    <x:row r="10">
      <x:c r="A10" t="str">
        <x:v>Hamilton</x:v>
      </x:c>
      <x:c r="B10" t="str">
        <x:v>20672759</x:v>
      </x:c>
      <x:c r="C10" s="10" t="n">
        <x:v>100</x:v>
      </x:c>
      <x:c r="D10" s="10" t="n">
        <x:v>100</x:v>
      </x:c>
      <x:c r="E10" s="10" t="n">
        <x:v>98</x:v>
      </x:c>
      <x:c r="F10" s="10" t="n">
        <x:f>ROUND(AVERAGE(C10:E10),0)</x:f>
        <x:v>99</x:v>
      </x:c>
      <x:c r="G10" s="18" t="str">
        <x:v>Complete and executable with plot evidence. Exercise 3 structure is correct; minor course-label differences ('Calculus 1', 'Physics 1').</x:v>
      </x:c>
      <x:c r="H10" s="18" t="str">
        <x:v>Hamilton_20672759.ipynb</x:v>
      </x:c>
    </x:row>
    <x:row r="11">
      <x:c r="A11" t="str">
        <x:v>Harrison</x:v>
      </x:c>
      <x:c r="B11" t="str">
        <x:v>Not found</x:v>
      </x:c>
      <x:c r="C11" s="10" t="n">
        <x:v>70</x:v>
      </x:c>
      <x:c r="D11" s="10" t="n">
        <x:v>100</x:v>
      </x:c>
      <x:c r="E11" s="10" t="n">
        <x:v>37</x:v>
      </x:c>
      <x:c r="F11" s="10" t="n">
        <x:f>ROUND(AVERAGE(C11:E11),0)</x:f>
        <x:v>69</x:v>
      </x:c>
      <x:c r="G11" s="18" t="str">
        <x:v>Exercise 1 evaluates all ten points but no plot is submitted. Exercise 2 collects grades but overwrites one variable and never prints the required final report card. Exercise 3 does not build the required nested tuple/list object.</x:v>
      </x:c>
      <x:c r="H11" s="18" t="str">
        <x:v>homework1.ipynb</x:v>
      </x:c>
    </x:row>
    <x:row r="12">
      <x:c r="A12" t="str">
        <x:v>Hossain</x:v>
      </x:c>
      <x:c r="B12" t="str">
        <x:v>20660590</x:v>
      </x:c>
      <x:c r="C12" s="10" t="n">
        <x:v>37</x:v>
      </x:c>
      <x:c r="D12" s="10" t="n">
        <x:v>100</x:v>
      </x:c>
      <x:c r="E12" s="10" t="n">
        <x:v>33</x:v>
      </x:c>
      <x:c r="F12" s="10" t="n">
        <x:f>ROUND(AVERAGE(C12:E12),0)</x:f>
        <x:v>57</x:v>
      </x:c>
      <x:c r="G12" s="18" t="str">
        <x:v>Exercise 1 evaluates the ten cosine values but has no submitted plot. Exercise 2 stops after input collection and Exercise 3 is absent. The submitted code itself is syntactically valid.</x:v>
      </x:c>
      <x:c r="H12" s="18" t="str">
        <x:v>Hossain_20660590.ipynb</x:v>
      </x:c>
    </x:row>
    <x:row r="13">
      <x:c r="A13" t="str">
        <x:v>Lam</x:v>
      </x:c>
      <x:c r="B13" t="str">
        <x:v>20693757</x:v>
      </x:c>
      <x:c r="C13" s="10" t="n">
        <x:v>83</x:v>
      </x:c>
      <x:c r="D13" s="10" t="n">
        <x:v>100</x:v>
      </x:c>
      <x:c r="E13" s="10" t="n">
        <x:v>75</x:v>
      </x:c>
      <x:c r="F13" s="10" t="n">
        <x:f>ROUND(AVERAGE(C13:E13),0)</x:f>
        <x:v>86</x:v>
      </x:c>
      <x:c r="G13" s="18" t="str">
        <x:v>Exercise 1 omits x=3.0 and has no submitted plot. Exercise 2 collects/prints all grades but does not use dotted leaders. Exercise 3 is structurally correct.</x:v>
      </x:c>
      <x:c r="H13" s="18" t="str">
        <x:v>Aleck Lam 20693757 Problem Set 1 Python Fundamentals.ipynb</x:v>
      </x:c>
    </x:row>
    <x:row r="14">
      <x:c r="A14" t="str">
        <x:v>Locashio</x:v>
      </x:c>
      <x:c r="B14" t="str">
        <x:v>20693381</x:v>
      </x:c>
      <x:c r="C14" s="10" t="n">
        <x:v>87</x:v>
      </x:c>
      <x:c r="D14" s="10" t="n">
        <x:v>67</x:v>
      </x:c>
      <x:c r="E14" s="10" t="n">
        <x:v>67</x:v>
      </x:c>
      <x:c r="F14" s="10" t="n">
        <x:f>ROUND(AVERAGE(C14:E14),0)</x:f>
        <x:v>74</x:v>
      </x:c>
      <x:c r="G14" s="18" t="str">
        <x:v>Exercise 1 has all ten values but no plot, and a prose sentence was placed in a code cell, producing a SyntaxError on Run All. Exercise 3 is over-nested and does not match the required [course, [students]] elements.</x:v>
      </x:c>
      <x:c r="H14" s="18" t="str">
        <x:v>Locashio_20693381.ipynb</x:v>
      </x:c>
    </x:row>
    <x:row r="15">
      <x:c r="A15" t="str">
        <x:v>Martinez-Amaro</x:v>
      </x:c>
      <x:c r="B15" t="str">
        <x:v>20698625</x:v>
      </x:c>
      <x:c r="C15" s="10" t="n">
        <x:v>80</x:v>
      </x:c>
      <x:c r="D15" s="10" t="n">
        <x:v>100</x:v>
      </x:c>
      <x:c r="E15" s="10" t="n">
        <x:v>63</x:v>
      </x:c>
      <x:c r="F15" s="10" t="n">
        <x:f>ROUND(AVERAGE(C15:E15),0)</x:f>
        <x:v>81</x:v>
      </x:c>
      <x:c r="G15" s="18" t="str">
        <x:v>Exercise 1 has all ten evaluations but no submitted plot. Exercise 2 is satisfactory. Exercise 3 collects names but does not construct the required tuple of course-list structures.</x:v>
      </x:c>
      <x:c r="H15" s="18" t="str">
        <x:v>martinez_20698625.ipynb</x:v>
      </x:c>
    </x:row>
    <x:row r="16">
      <x:c r="A16" t="str">
        <x:v>Moore</x:v>
      </x:c>
      <x:c r="B16" t="str">
        <x:v>Not found</x:v>
      </x:c>
      <x:c r="C16" s="10" t="n">
        <x:v>90</x:v>
      </x:c>
      <x:c r="D16" s="10" t="n">
        <x:v>67</x:v>
      </x:c>
      <x:c r="E16" s="10" t="n">
        <x:v>70</x:v>
      </x:c>
      <x:c r="F16" s="10" t="n">
        <x:f>ROUND(AVERAGE(C16:E16),0)</x:f>
        <x:v>76</x:v>
      </x:c>
      <x:c r="G16" s="18" t="str">
        <x:v>Exercise 1 is plotted in Python rather than a spreadsheet. Exercise 2 collects inputs but does not print the required final report card. Exercise 3 uses a list rather than an outer tuple; later 'failed attempt' cells raise NameError.</x:v>
      </x:c>
      <x:c r="H16" s="18" t="str">
        <x:v>Homework Problem Set 1.ipynb</x:v>
      </x:c>
    </x:row>
    <x:row r="17">
      <x:c r="A17" t="str">
        <x:v>Needles</x:v>
      </x:c>
      <x:c r="B17" t="str">
        <x:v>20686013</x:v>
      </x:c>
      <x:c r="C17" s="10" t="n">
        <x:v>100</x:v>
      </x:c>
      <x:c r="D17" s="10" t="n">
        <x:v>100</x:v>
      </x:c>
      <x:c r="E17" s="10" t="n">
        <x:v>100</x:v>
      </x:c>
      <x:c r="F17" s="10" t="n">
        <x:f>ROUND(AVERAGE(C17:E17),0)</x:f>
        <x:v>100</x:v>
      </x:c>
      <x:c r="G17" s="18" t="str">
        <x:v>All three exercises are complete, execute cleanly, and satisfy the requested structures/output.</x:v>
      </x:c>
      <x:c r="H17" s="18" t="str">
        <x:v>Needles_20686013.ipynb</x:v>
      </x:c>
    </x:row>
    <x:row r="18">
      <x:c r="A18" t="str">
        <x:v>Nguyen</x:v>
      </x:c>
      <x:c r="B18" t="str">
        <x:v>2069448</x:v>
      </x:c>
      <x:c r="C18" s="10" t="n">
        <x:v>80</x:v>
      </x:c>
      <x:c r="D18" s="10" t="n">
        <x:v>100</x:v>
      </x:c>
      <x:c r="E18" s="10" t="n">
        <x:v>67</x:v>
      </x:c>
      <x:c r="F18" s="10" t="n">
        <x:f>ROUND(AVERAGE(C18:E18),0)</x:f>
        <x:v>82</x:v>
      </x:c>
      <x:c r="G18" s="18" t="str">
        <x:v>Exercise 1 has all ten values but no submitted plot. Exercise 2 has a complete input-driven dotted report card. Exercise 3 prints the rosters but never builds the required outer tuple of [course, student-list] elements.</x:v>
      </x:c>
      <x:c r="H18" s="18" t="str">
        <x:v>Nguyen_2069448.ipynb</x:v>
      </x:c>
    </x:row>
    <x:row r="19">
      <x:c r="A19" t="str">
        <x:v>Nishikawa</x:v>
      </x:c>
      <x:c r="B19" t="str">
        <x:v>20697206</x:v>
      </x:c>
      <x:c r="C19" s="10" t="n">
        <x:v>87</x:v>
      </x:c>
      <x:c r="D19" s="10" t="n">
        <x:v>100</x:v>
      </x:c>
      <x:c r="E19" s="10" t="n">
        <x:v>67</x:v>
      </x:c>
      <x:c r="F19" s="10" t="n">
        <x:f>ROUND(AVERAGE(C19:E19),0)</x:f>
        <x:v>85</x:v>
      </x:c>
      <x:c r="G19" s="18" t="str">
        <x:v>New submission. Exercise 1 evaluates all ten cosine values but does not include the required spreadsheet plot or zero-crossing identification. Exercise 2 produces a readable dotted report card, with only a minor formatting omission in the student-name line. Exercise 3 contains the correct roster contents but flattens the course names and student lists into one six-element list instead of the required three-element tuple of [course, [students]] structures.</x:v>
      </x:c>
      <x:c r="H19" s="18" t="str">
        <x:v>Michael_Nishikawa_hw1.ipynb</x:v>
      </x:c>
    </x:row>
    <x:row r="20">
      <x:c r="A20" t="str">
        <x:v>Ögren</x:v>
      </x:c>
      <x:c r="B20" t="str">
        <x:v>20674779</x:v>
      </x:c>
      <x:c r="C20" s="10" t="n">
        <x:v>100</x:v>
      </x:c>
      <x:c r="D20" s="10" t="n">
        <x:v>100</x:v>
      </x:c>
      <x:c r="E20" s="10" t="n">
        <x:v>100</x:v>
      </x:c>
      <x:c r="F20" s="10" t="n">
        <x:f>ROUND(AVERAGE(C20:E20),0)</x:f>
        <x:v>100</x:v>
      </x:c>
      <x:c r="G20" s="18" t="str">
        <x:v>All three exercises are complete, execute cleanly, and satisfy the requested structures/output.</x:v>
      </x:c>
      <x:c r="H20" s="18" t="str">
        <x:v>Oegren_20674779.ipynb</x:v>
      </x:c>
    </x:row>
    <x:row r="21">
      <x:c r="A21" t="str">
        <x:v>Orduno-Chavez</x:v>
      </x:c>
      <x:c r="B21" t="str">
        <x:v>Not found</x:v>
      </x:c>
      <x:c r="C21" s="10" t="n">
        <x:v>87</x:v>
      </x:c>
      <x:c r="D21" s="10" t="n">
        <x:v>100</x:v>
      </x:c>
      <x:c r="E21" s="10" t="n">
        <x:v>87</x:v>
      </x:c>
      <x:c r="F21" s="10" t="n">
        <x:f>ROUND(AVERAGE(C21:E21),0)</x:f>
        <x:v>91</x:v>
      </x:c>
      <x:c r="G21" s="18" t="str">
        <x:v>Exercises 2 and 3 meet the requirements. Exercise 1 evaluates all ten points but contains no submitted plot.</x:v>
      </x:c>
      <x:c r="H21" s="18" t="str">
        <x:v>Problem_Set_1_Python_Fundamentals.ipynb</x:v>
      </x:c>
    </x:row>
    <x:row r="22">
      <x:c r="A22" t="str">
        <x:v>Poindexter</x:v>
      </x:c>
      <x:c r="B22" t="str">
        <x:v>20701040</x:v>
      </x:c>
      <x:c r="C22" s="10" t="n">
        <x:v>87</x:v>
      </x:c>
      <x:c r="D22" s="10" t="n">
        <x:v>100</x:v>
      </x:c>
      <x:c r="E22" s="10" t="n">
        <x:v>87</x:v>
      </x:c>
      <x:c r="F22" s="10" t="n">
        <x:f>ROUND(AVERAGE(C22:E22),0)</x:f>
        <x:v>91</x:v>
      </x:c>
      <x:c r="G22" s="18" t="str">
        <x:v>Exercises 2 and 3 meet the requirements. The Python export contains all ten cosine evaluations and a written graph observation, but no plot is present in the submitted file.</x:v>
      </x:c>
      <x:c r="H22" s="18" t="str">
        <x:v>louise_poindexter_20701040.py</x:v>
      </x:c>
    </x:row>
    <x:row r="23">
      <x:c r="A23" t="str">
        <x:v>Prola</x:v>
      </x:c>
      <x:c r="B23" t="str">
        <x:v>Not found</x:v>
      </x:c>
      <x:c r="C23" s="10" t="n">
        <x:v>100</x:v>
      </x:c>
      <x:c r="D23" s="10" t="n">
        <x:v>100</x:v>
      </x:c>
      <x:c r="E23" s="10" t="n">
        <x:v>100</x:v>
      </x:c>
      <x:c r="F23" s="10" t="n">
        <x:f>ROUND(AVERAGE(C23:E23),0)</x:f>
        <x:v>100</x:v>
      </x:c>
      <x:c r="G23" s="18" t="str">
        <x:v>All three exercises are complete, execute cleanly, and satisfy the requested structures/output.</x:v>
      </x:c>
      <x:c r="H23" s="18" t="str">
        <x:v>Problemset1 (4).ipynb</x:v>
      </x:c>
    </x:row>
    <x:row r="24">
      <x:c r="A24" t="str">
        <x:v>Rivera</x:v>
      </x:c>
      <x:c r="B24" t="str">
        <x:v>20698645</x:v>
      </x:c>
      <x:c r="C24" s="10" t="n">
        <x:v>90</x:v>
      </x:c>
      <x:c r="D24" s="10" t="n">
        <x:v>100</x:v>
      </x:c>
      <x:c r="E24" s="10" t="n">
        <x:v>87</x:v>
      </x:c>
      <x:c r="F24" s="10" t="n">
        <x:f>ROUND(AVERAGE(C24:E24),0)</x:f>
        <x:v>92</x:v>
      </x:c>
      <x:c r="G24" s="18" t="str">
        <x:v>Exercise 1 includes the ten values and plot evidence; Exercise 3 is correct. Exercise 2 collects the grades with dotted prompts but does not produce the required final report card after input.</x:v>
      </x:c>
      <x:c r="H24" s="18" t="str">
        <x:v>rivera_20698645.ipynb</x:v>
      </x:c>
    </x:row>
    <x:row r="25">
      <x:c r="A25" t="str">
        <x:v>Tran</x:v>
      </x:c>
      <x:c r="B25" t="str">
        <x:v>20684551</x:v>
      </x:c>
      <x:c r="C25" s="10" t="n">
        <x:v>0</x:v>
      </x:c>
      <x:c r="D25" s="10" t="n">
        <x:v>100</x:v>
      </x:c>
      <x:c r="E25" s="10" t="n">
        <x:v>0</x:v>
      </x:c>
      <x:c r="F25" s="10" t="n">
        <x:f>ROUND(AVERAGE(C25:E25),0)</x:f>
        <x:v>33</x:v>
      </x:c>
      <x:c r="G25" s="18" t="str">
        <x:v>The submitted notebook is the earlier multiplication-table warm-up rather than Problem Set 1. It executes, but none of the three Problem Set 1 exercises is submitted.</x:v>
      </x:c>
      <x:c r="H25" s="18" t="str">
        <x:v>Tien Dat Tran_20684551_Multi_table.ipynb</x:v>
      </x:c>
    </x:row>
    <x:row r="26">
      <x:c r="A26" t="str">
        <x:v>Villarruel</x:v>
      </x:c>
      <x:c r="B26" t="str">
        <x:v>Not found</x:v>
      </x:c>
      <x:c r="C26" t="n">
        <x:v>100</x:v>
      </x:c>
      <x:c r="D26" t="n">
        <x:v>100</x:v>
      </x:c>
      <x:c r="E26" t="n">
        <x:v>100</x:v>
      </x:c>
      <x:c r="F26" t="n">
        <x:f>ROUND(AVERAGE(C26:E26),0)</x:f>
        <x:v>100</x:v>
      </x:c>
      <x:c r="G26" t="str">
        <x:v>All three exercises are complete, execute cleanly, and satisfy the requested structures/output; minor spelling errors in example names were not penalized.</x:v>
      </x:c>
      <x:c r="H26" t="str">
        <x:v>ProblemSet1_Sarah_Villarruel.ipynb</x:v>
      </x:c>
    </x:row>
    <x:row r="27">
      <x:c r="A27" t="str">
        <x:v>Viramontes</x:v>
      </x:c>
      <x:c r="B27" t="str">
        <x:v>20698411</x:v>
      </x:c>
      <x:c r="C27" t="n">
        <x:v>90</x:v>
      </x:c>
      <x:c r="D27" t="n">
        <x:v>100</x:v>
      </x:c>
      <x:c r="E27" t="n">
        <x:v>77</x:v>
      </x:c>
      <x:c r="F27" t="n">
        <x:f>ROUND(AVERAGE(C27:E27),0)</x:f>
        <x:v>89</x:v>
      </x:c>
      <x:c r="G27" t="str">
        <x:v>Exercise 1 includes plot evidence. Exercise 2 collects all inputs but does not print a final report card after collection. Exercise 3 uses a list rather than the required outer tuple.</x:v>
      </x:c>
      <x:c r="H27" t="str">
        <x:v>viramontes_christain20698411.ipynb</x:v>
      </x:c>
    </x:row>
  </x:sheetData>
  <x:mergeCells>
    <x:mergeCell ref="A1:H1"/>
    <x:mergeCell ref="A2:H2"/>
  </x:mergeCells>
  <x:conditionalFormatting sqref="C5:F25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8c8a999e8da4691"/>
  </x:tableParts>
</x:worksheet>
</file>