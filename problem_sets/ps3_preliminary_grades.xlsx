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liminary Grades" sheetId="1" state="visible" r:id="rId3"/>
    <sheet name="Grading Audit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<sst xmlns="http://schemas.openxmlformats.org/spreadsheetml/2006/main" count="115" uniqueCount="75">
  <si>
    <t xml:space="preserve">Last Name</t>
  </si>
  <si>
    <t xml:space="preserve">Student ID</t>
  </si>
  <si>
    <t xml:space="preserve">Preliminary Grade</t>
  </si>
  <si>
    <t xml:space="preserve">Aguayo</t>
  </si>
  <si>
    <t xml:space="preserve">Not found</t>
  </si>
  <si>
    <t xml:space="preserve">Dong</t>
  </si>
  <si>
    <t xml:space="preserve">Garcia</t>
  </si>
  <si>
    <t xml:space="preserve">20689943</t>
  </si>
  <si>
    <t xml:space="preserve">Guerrero</t>
  </si>
  <si>
    <t xml:space="preserve">20701493</t>
  </si>
  <si>
    <t xml:space="preserve">Hamilton</t>
  </si>
  <si>
    <t xml:space="preserve">20672759</t>
  </si>
  <si>
    <t xml:space="preserve">Lam</t>
  </si>
  <si>
    <t xml:space="preserve">20693757</t>
  </si>
  <si>
    <t xml:space="preserve">Locashio</t>
  </si>
  <si>
    <t xml:space="preserve">20693381</t>
  </si>
  <si>
    <t xml:space="preserve">Martinez-Amaro</t>
  </si>
  <si>
    <t xml:space="preserve">20698625</t>
  </si>
  <si>
    <t xml:space="preserve">Moore</t>
  </si>
  <si>
    <t xml:space="preserve">20694059</t>
  </si>
  <si>
    <t xml:space="preserve">Nguyen</t>
  </si>
  <si>
    <t xml:space="preserve">20695448</t>
  </si>
  <si>
    <t xml:space="preserve">Nishikawa</t>
  </si>
  <si>
    <t xml:space="preserve">20697206</t>
  </si>
  <si>
    <t xml:space="preserve">Ögren</t>
  </si>
  <si>
    <t xml:space="preserve">20674779</t>
  </si>
  <si>
    <t xml:space="preserve">Poindexter</t>
  </si>
  <si>
    <t xml:space="preserve">20701040</t>
  </si>
  <si>
    <t xml:space="preserve">Prola</t>
  </si>
  <si>
    <t xml:space="preserve">20700028</t>
  </si>
  <si>
    <t xml:space="preserve">Rivera</t>
  </si>
  <si>
    <t xml:space="preserve">20698645</t>
  </si>
  <si>
    <t xml:space="preserve">Villarruel</t>
  </si>
  <si>
    <t xml:space="preserve">20694193</t>
  </si>
  <si>
    <t xml:space="preserve">Viramontes</t>
  </si>
  <si>
    <t xml:space="preserve">20694811</t>
  </si>
  <si>
    <t xml:space="preserve">Problem Set 3 Preliminary Grading Audit</t>
  </si>
  <si>
    <t xml:space="preserve">Rubric: Completeness, bug-free execution, and meeting the stated requirements are equally weighted. Preliminary grade is the rounded mean of the three category scores.</t>
  </si>
  <si>
    <t xml:space="preserve">Completeness</t>
  </si>
  <si>
    <t xml:space="preserve">Bug-Free</t>
  </si>
  <si>
    <t xml:space="preserve">Meets Requirements</t>
  </si>
  <si>
    <t xml:space="preserve">Preliminary Notes</t>
  </si>
  <si>
    <t xml:space="preserve">Submission File</t>
  </si>
  <si>
    <t xml:space="preserve">All three exercises are attempted and execute. Exercise 1 omits the written pole explanations. Exercise 2 does not use the required course-list/math_courses structure and appends the full (name, ID, score) tuple rather than (name, ID). Exercise 3 uses three separate while loops instead of one loop over math_courses.</t>
  </si>
  <si>
    <t xml:space="preserve">Problem_Set_3.ipynb</t>
  </si>
  <si>
    <t xml:space="preserve">Complete and executable. Exercise 1 prints f(x) without x. Exercise 2 stores only names instead of (name, student_id). Exercise 3 counts len(math_courses[i]) rather than the student list length; the result 6 is coincidental.</t>
  </si>
  <si>
    <t xml:space="preserve">Bao_Problem_Set_3.ipynb</t>
  </si>
  <si>
    <t xml:space="preserve">Complete, executes cleanly, and meets the stated requirements.</t>
  </si>
  <si>
    <t xml:space="preserve">Garcia_20689943_assignment#3.ipynb</t>
  </si>
  <si>
    <t xml:space="preserve">Computational work is present and executable. Written explanations are omitted. Sorting is correct, but math_courses is a list instead of a tuple and several labels are misspelled.</t>
  </si>
  <si>
    <t xml:space="preserve">Problem_set3_Maggy_Guerrero_20701493.ipynb</t>
  </si>
  <si>
    <t xml:space="preserve">Core code is correct and executable. The sign/magnitude explanation near the pole and the written explanation of the final total are omitted.</t>
  </si>
  <si>
    <t xml:space="preserve">Hamilton_20672759-3.ipynb</t>
  </si>
  <si>
    <t xml:space="preserve">Submitted artifact contains only a Google Colab account/login page; no notebook code or results are available to grade. Resubmission of the actual notebook or export is needed.</t>
  </si>
  <si>
    <t xml:space="preserve">1qr-MefIs9xVgx-QJJM0AkKDZpkah01rK.html</t>
  </si>
  <si>
    <t xml:space="preserve">Notebook opens without a runtime error, but Exercise 1 does not call/print f(x), Exercise 2 prints instead of returning a course and never performs roster sorting, and Exercise 3 is absent.</t>
  </si>
  <si>
    <t xml:space="preserve">Locashio_20693381 (1).ipynb</t>
  </si>
  <si>
    <t xml:space="preserve">Exercises 2 and 3 are correct. Exercise 1 omits 0.99/1.01, prints only f(x), and omits the pole explanations. Exercise 3 omits the written explanation.</t>
  </si>
  <si>
    <t xml:space="preserve">HectorMartinez_20698625.ipynb</t>
  </si>
  <si>
    <t xml:space="preserve">All three programming tasks are correct and execute cleanly. The principal omissions are the written explanations in Exercises 1 and 3.</t>
  </si>
  <si>
    <t xml:space="preserve">Meadow_Moore_20694059_Problem_Set_3_Loops_and_Functions.ipynb</t>
  </si>
  <si>
    <t xml:space="preserve">Submission executes, but Exercise 1 omits the near-pole tests/explanation. Exercise 2 returns shorthand labels, omits the required placement tests, and stores only names. Exercise 3 uses an extra nested for loop instead of adding the roster length; saved output is inconsistent with the current code.</t>
  </si>
  <si>
    <t xml:space="preserve">Nguyen_20695448_Problem_Set3.ipynb</t>
  </si>
  <si>
    <t xml:space="preserve">Computational work is correct and executable. Written pole explanations are omitted. Exercise 3 counts with a nested for loop instead of adding len(math_courses[i][1]) directly, and the written explanation is omitted.</t>
  </si>
  <si>
    <t xml:space="preserve">Michael_Nishikawa_20697206 (1).ipynb</t>
  </si>
  <si>
    <t xml:space="preserve">Exercises 1 and 2 meet the requirements. Exercise 3 reaches the right total but uses three separate while loops over the rosters instead of one while loop using i to access math_courses.</t>
  </si>
  <si>
    <t xml:space="preserve">ArvidOegren_20674779 (4).ipynb</t>
  </si>
  <si>
    <t xml:space="preserve">louise_poindexter_20701040 (2).py</t>
  </si>
  <si>
    <t xml:space="preserve">Problemset_3_Christian_Prola_ID_20700028.ipynb</t>
  </si>
  <si>
    <t xml:space="preserve">Exercise 1 is correct. Exercise 2 fails on a clean run because placement() refers to roster variables before they exist and calls append() with two arguments; the rosters remain empty. Exercise 3 raises NameError and does not compute the total.</t>
  </si>
  <si>
    <t xml:space="preserve">rivera_20698645_PS3.ipynb</t>
  </si>
  <si>
    <t xml:space="preserve">Exercises 2 and 3 are correct and executable. Exercise 1 omits 0.99/1.01 and both pole explanations and prints only f(x). Exercise 3 omits the written explanation.</t>
  </si>
  <si>
    <t xml:space="preserve">20694193_Sarah_Villarruel_HW_3_CS.ipynb</t>
  </si>
  <si>
    <t xml:space="preserve">Complete and executable. Exercise 2 uses elif score &gt;= 3, so score 2 is incorrectly placed in Algebra. Exercise 3 counts six students but incorrectly states there are two students in each course.</t>
  </si>
  <si>
    <t xml:space="preserve">viramontes_christian20694811ipynb.ipynb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</si>
</sst>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4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2.7"/>
    <col collapsed="false" customWidth="true" hidden="false" outlineLevel="0" max="2" min="2" style="0" width="20.43"/>
    <col collapsed="false" customWidth="true" hidden="false" outlineLevel="0" max="3" min="3" style="0" width="22.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6.4" hidden="false" customHeight="false" outlineLevel="0" collapsed="false">
      <c r="A2" s="0" t="s">
        <v>3</v>
      </c>
      <c r="B2" s="0" t="s">
        <v>4</v>
      </c>
      <c r="C2" s="2" t="n">
        <v>85</v>
      </c>
    </row>
    <row r="3" customFormat="false" ht="16.4" hidden="false" customHeight="false" outlineLevel="0" collapsed="false">
      <c r="A3" s="0" t="s">
        <v>5</v>
      </c>
      <c r="B3" s="0" t="s">
        <v>4</v>
      </c>
      <c r="C3" s="2" t="n">
        <v>92</v>
      </c>
    </row>
    <row r="4" customFormat="false" ht="16.4" hidden="false" customHeight="false" outlineLevel="0" collapsed="false">
      <c r="A4" s="0" t="s">
        <v>6</v>
      </c>
      <c r="B4" s="0" t="s">
        <v>7</v>
      </c>
      <c r="C4" s="2" t="n">
        <v>100</v>
      </c>
    </row>
    <row r="5" customFormat="false" ht="16.4" hidden="false" customHeight="false" outlineLevel="0" collapsed="false">
      <c r="A5" s="0" t="s">
        <v>8</v>
      </c>
      <c r="B5" s="0" t="s">
        <v>9</v>
      </c>
      <c r="C5" s="2" t="n">
        <v>92</v>
      </c>
    </row>
    <row r="6" customFormat="false" ht="16.4" hidden="false" customHeight="false" outlineLevel="0" collapsed="false">
      <c r="A6" s="0" t="s">
        <v>10</v>
      </c>
      <c r="B6" s="0" t="s">
        <v>11</v>
      </c>
      <c r="C6" s="2" t="n">
        <v>96</v>
      </c>
    </row>
    <row r="7" customFormat="false" ht="16.4" hidden="false" customHeight="false" outlineLevel="0" collapsed="false">
      <c r="A7" s="0" t="s">
        <v>12</v>
      </c>
      <c r="B7" s="0" t="s">
        <v>13</v>
      </c>
      <c r="C7" s="2" t="n">
        <v>0</v>
      </c>
    </row>
    <row r="8" customFormat="false" ht="16.4" hidden="false" customHeight="false" outlineLevel="0" collapsed="false">
      <c r="A8" s="0" t="s">
        <v>14</v>
      </c>
      <c r="B8" s="0" t="s">
        <v>15</v>
      </c>
      <c r="C8" s="2" t="n">
        <v>55</v>
      </c>
    </row>
    <row r="9" customFormat="false" ht="16.4" hidden="false" customHeight="false" outlineLevel="0" collapsed="false">
      <c r="A9" s="0" t="s">
        <v>16</v>
      </c>
      <c r="B9" s="0" t="s">
        <v>17</v>
      </c>
      <c r="C9" s="2" t="n">
        <v>88</v>
      </c>
    </row>
    <row r="10" customFormat="false" ht="16.4" hidden="false" customHeight="false" outlineLevel="0" collapsed="false">
      <c r="A10" s="0" t="s">
        <v>18</v>
      </c>
      <c r="B10" s="0" t="s">
        <v>19</v>
      </c>
      <c r="C10" s="2" t="n">
        <v>95</v>
      </c>
    </row>
    <row r="11" customFormat="false" ht="16.4" hidden="false" customHeight="false" outlineLevel="0" collapsed="false">
      <c r="A11" s="0" t="s">
        <v>20</v>
      </c>
      <c r="B11" s="0" t="s">
        <v>21</v>
      </c>
      <c r="C11" s="2" t="n">
        <v>78</v>
      </c>
    </row>
    <row r="12" customFormat="false" ht="16.4" hidden="false" customHeight="false" outlineLevel="0" collapsed="false">
      <c r="A12" s="0" t="s">
        <v>22</v>
      </c>
      <c r="B12" s="0" t="s">
        <v>23</v>
      </c>
      <c r="C12" s="2" t="n">
        <v>93</v>
      </c>
    </row>
    <row r="13" customFormat="false" ht="16.4" hidden="false" customHeight="false" outlineLevel="0" collapsed="false">
      <c r="A13" s="0" t="s">
        <v>24</v>
      </c>
      <c r="B13" s="0" t="s">
        <v>25</v>
      </c>
      <c r="C13" s="2" t="n">
        <v>95</v>
      </c>
    </row>
    <row r="14" customFormat="false" ht="16.4" hidden="false" customHeight="false" outlineLevel="0" collapsed="false">
      <c r="A14" s="0" t="s">
        <v>26</v>
      </c>
      <c r="B14" s="0" t="s">
        <v>27</v>
      </c>
      <c r="C14" s="2" t="n">
        <v>100</v>
      </c>
    </row>
    <row r="15" customFormat="false" ht="16.4" hidden="false" customHeight="false" outlineLevel="0" collapsed="false">
      <c r="A15" s="0" t="s">
        <v>28</v>
      </c>
      <c r="B15" s="0" t="s">
        <v>29</v>
      </c>
      <c r="C15" s="2" t="n">
        <v>100</v>
      </c>
    </row>
    <row r="16" customFormat="false" ht="16.4" hidden="false" customHeight="false" outlineLevel="0" collapsed="false">
      <c r="A16" s="0" t="s">
        <v>30</v>
      </c>
      <c r="B16" s="0" t="s">
        <v>31</v>
      </c>
      <c r="C16" s="2" t="n">
        <v>56</v>
      </c>
    </row>
    <row r="17" customFormat="false" ht="16.4" hidden="false" customHeight="false" outlineLevel="0" collapsed="false">
      <c r="A17" s="0" t="s">
        <v>32</v>
      </c>
      <c r="B17" s="0" t="s">
        <v>33</v>
      </c>
      <c r="C17" s="2" t="n">
        <v>87</v>
      </c>
    </row>
    <row r="18" customFormat="false" ht="16.4" hidden="false" customHeight="false" outlineLevel="0" collapsed="false">
      <c r="A18" s="0" t="s">
        <v>34</v>
      </c>
      <c r="B18" s="0" t="s">
        <v>35</v>
      </c>
      <c r="C18" s="2" t="n">
        <v>92</v>
      </c>
    </row>
  </sheetData>
  <conditionalFormatting sqref="C2:C18">
    <cfRule type="colorScale" priority="2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2.7"/>
    <col collapsed="false" customWidth="true" hidden="false" outlineLevel="0" max="2" min="2" style="0" width="20.43"/>
    <col collapsed="false" customWidth="true" hidden="false" outlineLevel="0" max="4" min="3" style="0" width="18.16"/>
    <col collapsed="false" customWidth="true" hidden="false" outlineLevel="0" max="6" min="5" style="0" width="20.43"/>
    <col collapsed="false" customWidth="true" hidden="false" outlineLevel="0" max="7" min="7" style="0" width="68.11"/>
    <col collapsed="false" customWidth="true" hidden="false" outlineLevel="0" max="8" min="8" style="0" width="49.95"/>
  </cols>
  <sheetData>
    <row r="1" customFormat="false" ht="17.35" hidden="false" customHeight="false" outlineLevel="0" collapsed="false">
      <c r="A1" s="3" t="s">
        <v>36</v>
      </c>
      <c r="B1" s="3"/>
      <c r="C1" s="3"/>
      <c r="D1" s="3"/>
      <c r="E1" s="3"/>
      <c r="F1" s="3"/>
      <c r="G1" s="3"/>
      <c r="H1" s="3"/>
    </row>
    <row r="2" customFormat="false" ht="16.4" hidden="false" customHeight="true" outlineLevel="0" collapsed="false">
      <c r="A2" s="4" t="s">
        <v>37</v>
      </c>
      <c r="B2" s="4"/>
      <c r="C2" s="4"/>
      <c r="D2" s="4"/>
      <c r="E2" s="4"/>
      <c r="F2" s="4"/>
      <c r="G2" s="4"/>
      <c r="H2" s="4"/>
    </row>
    <row r="4" customFormat="false" ht="31.3" hidden="false" customHeight="false" outlineLevel="0" collapsed="false">
      <c r="A4" s="5" t="s">
        <v>0</v>
      </c>
      <c r="B4" s="5" t="s">
        <v>1</v>
      </c>
      <c r="C4" s="5" t="s">
        <v>38</v>
      </c>
      <c r="D4" s="5" t="s">
        <v>39</v>
      </c>
      <c r="E4" s="5" t="s">
        <v>40</v>
      </c>
      <c r="F4" s="5" t="s">
        <v>2</v>
      </c>
      <c r="G4" s="5" t="s">
        <v>41</v>
      </c>
      <c r="H4" s="5" t="s">
        <v>42</v>
      </c>
    </row>
    <row r="5" customFormat="false" ht="76.1" hidden="false" customHeight="false" outlineLevel="0" collapsed="false">
      <c r="A5" s="0" t="s">
        <v>3</v>
      </c>
      <c r="B5" s="0" t="s">
        <v>4</v>
      </c>
      <c r="C5" s="2" t="n">
        <v>90</v>
      </c>
      <c r="D5" s="2" t="n">
        <v>100</v>
      </c>
      <c r="E5" s="2" t="n">
        <v>65</v>
      </c>
      <c r="F5" s="2" t="n">
        <f aca="false">ROUND(AVERAGE(C5:E5),0)</f>
        <v>85</v>
      </c>
      <c r="G5" s="4" t="s">
        <v>43</v>
      </c>
      <c r="H5" s="4" t="s">
        <v>44</v>
      </c>
    </row>
    <row r="6" customFormat="false" ht="61.15" hidden="false" customHeight="false" outlineLevel="0" collapsed="false">
      <c r="A6" s="0" t="s">
        <v>5</v>
      </c>
      <c r="B6" s="0" t="s">
        <v>4</v>
      </c>
      <c r="C6" s="2" t="n">
        <v>100</v>
      </c>
      <c r="D6" s="2" t="n">
        <v>100</v>
      </c>
      <c r="E6" s="2" t="n">
        <v>75</v>
      </c>
      <c r="F6" s="2" t="n">
        <f aca="false">ROUND(AVERAGE(C6:E6),0)</f>
        <v>92</v>
      </c>
      <c r="G6" s="4" t="s">
        <v>45</v>
      </c>
      <c r="H6" s="4" t="s">
        <v>46</v>
      </c>
    </row>
    <row r="7" customFormat="false" ht="16.4" hidden="false" customHeight="false" outlineLevel="0" collapsed="false">
      <c r="A7" s="0" t="s">
        <v>6</v>
      </c>
      <c r="B7" s="0" t="s">
        <v>7</v>
      </c>
      <c r="C7" s="2" t="n">
        <v>100</v>
      </c>
      <c r="D7" s="2" t="n">
        <v>100</v>
      </c>
      <c r="E7" s="2" t="n">
        <v>100</v>
      </c>
      <c r="F7" s="2" t="n">
        <f aca="false">ROUND(AVERAGE(C7:E7),0)</f>
        <v>100</v>
      </c>
      <c r="G7" s="4" t="s">
        <v>47</v>
      </c>
      <c r="H7" s="4" t="s">
        <v>48</v>
      </c>
    </row>
    <row r="8" customFormat="false" ht="46.25" hidden="false" customHeight="false" outlineLevel="0" collapsed="false">
      <c r="A8" s="0" t="s">
        <v>8</v>
      </c>
      <c r="B8" s="0" t="s">
        <v>9</v>
      </c>
      <c r="C8" s="2" t="n">
        <v>90</v>
      </c>
      <c r="D8" s="2" t="n">
        <v>100</v>
      </c>
      <c r="E8" s="2" t="n">
        <v>85</v>
      </c>
      <c r="F8" s="2" t="n">
        <f aca="false">ROUND(AVERAGE(C8:E8),0)</f>
        <v>92</v>
      </c>
      <c r="G8" s="4" t="s">
        <v>49</v>
      </c>
      <c r="H8" s="4" t="s">
        <v>50</v>
      </c>
    </row>
    <row r="9" customFormat="false" ht="46.25" hidden="false" customHeight="false" outlineLevel="0" collapsed="false">
      <c r="A9" s="0" t="s">
        <v>10</v>
      </c>
      <c r="B9" s="0" t="s">
        <v>11</v>
      </c>
      <c r="C9" s="2" t="n">
        <v>90</v>
      </c>
      <c r="D9" s="2" t="n">
        <v>100</v>
      </c>
      <c r="E9" s="2" t="n">
        <v>98</v>
      </c>
      <c r="F9" s="2" t="n">
        <f aca="false">ROUND(AVERAGE(C9:E9),0)</f>
        <v>96</v>
      </c>
      <c r="G9" s="4" t="s">
        <v>51</v>
      </c>
      <c r="H9" s="4" t="s">
        <v>52</v>
      </c>
    </row>
    <row r="10" customFormat="false" ht="46.25" hidden="false" customHeight="false" outlineLevel="0" collapsed="false">
      <c r="A10" s="0" t="s">
        <v>12</v>
      </c>
      <c r="B10" s="0" t="s">
        <v>13</v>
      </c>
      <c r="C10" s="2" t="n">
        <v>0</v>
      </c>
      <c r="D10" s="2" t="n">
        <v>0</v>
      </c>
      <c r="E10" s="2" t="n">
        <v>0</v>
      </c>
      <c r="F10" s="2" t="n">
        <f aca="false">ROUND(AVERAGE(C10:E10),0)</f>
        <v>0</v>
      </c>
      <c r="G10" s="4" t="s">
        <v>53</v>
      </c>
      <c r="H10" s="4" t="s">
        <v>54</v>
      </c>
    </row>
    <row r="11" customFormat="false" ht="46.25" hidden="false" customHeight="false" outlineLevel="0" collapsed="false">
      <c r="A11" s="0" t="s">
        <v>14</v>
      </c>
      <c r="B11" s="0" t="s">
        <v>15</v>
      </c>
      <c r="C11" s="2" t="n">
        <v>45</v>
      </c>
      <c r="D11" s="2" t="n">
        <v>100</v>
      </c>
      <c r="E11" s="2" t="n">
        <v>20</v>
      </c>
      <c r="F11" s="2" t="n">
        <f aca="false">ROUND(AVERAGE(C11:E11),0)</f>
        <v>55</v>
      </c>
      <c r="G11" s="4" t="s">
        <v>55</v>
      </c>
      <c r="H11" s="4" t="s">
        <v>56</v>
      </c>
    </row>
    <row r="12" customFormat="false" ht="46.25" hidden="false" customHeight="false" outlineLevel="0" collapsed="false">
      <c r="A12" s="0" t="s">
        <v>16</v>
      </c>
      <c r="B12" s="0" t="s">
        <v>17</v>
      </c>
      <c r="C12" s="2" t="n">
        <v>80</v>
      </c>
      <c r="D12" s="2" t="n">
        <v>100</v>
      </c>
      <c r="E12" s="2" t="n">
        <v>85</v>
      </c>
      <c r="F12" s="2" t="n">
        <f aca="false">ROUND(AVERAGE(C12:E12),0)</f>
        <v>88</v>
      </c>
      <c r="G12" s="4" t="s">
        <v>57</v>
      </c>
      <c r="H12" s="4" t="s">
        <v>58</v>
      </c>
    </row>
    <row r="13" customFormat="false" ht="31.3" hidden="false" customHeight="false" outlineLevel="0" collapsed="false">
      <c r="A13" s="0" t="s">
        <v>18</v>
      </c>
      <c r="B13" s="0" t="s">
        <v>19</v>
      </c>
      <c r="C13" s="2" t="n">
        <v>90</v>
      </c>
      <c r="D13" s="2" t="n">
        <v>100</v>
      </c>
      <c r="E13" s="2" t="n">
        <v>95</v>
      </c>
      <c r="F13" s="2" t="n">
        <f aca="false">ROUND(AVERAGE(C13:E13),0)</f>
        <v>95</v>
      </c>
      <c r="G13" s="4" t="s">
        <v>59</v>
      </c>
      <c r="H13" s="4" t="s">
        <v>60</v>
      </c>
    </row>
    <row r="14" customFormat="false" ht="76.1" hidden="false" customHeight="false" outlineLevel="0" collapsed="false">
      <c r="A14" s="0" t="s">
        <v>20</v>
      </c>
      <c r="B14" s="0" t="s">
        <v>21</v>
      </c>
      <c r="C14" s="2" t="n">
        <v>75</v>
      </c>
      <c r="D14" s="2" t="n">
        <v>100</v>
      </c>
      <c r="E14" s="2" t="n">
        <v>60</v>
      </c>
      <c r="F14" s="2" t="n">
        <f aca="false">ROUND(AVERAGE(C14:E14),0)</f>
        <v>78</v>
      </c>
      <c r="G14" s="4" t="s">
        <v>61</v>
      </c>
      <c r="H14" s="4" t="s">
        <v>62</v>
      </c>
    </row>
    <row r="15" customFormat="false" ht="61.15" hidden="false" customHeight="false" outlineLevel="0" collapsed="false">
      <c r="A15" s="0" t="s">
        <v>22</v>
      </c>
      <c r="B15" s="0" t="s">
        <v>23</v>
      </c>
      <c r="C15" s="2" t="n">
        <v>90</v>
      </c>
      <c r="D15" s="2" t="n">
        <v>100</v>
      </c>
      <c r="E15" s="2" t="n">
        <v>90</v>
      </c>
      <c r="F15" s="2" t="n">
        <f aca="false">ROUND(AVERAGE(C15:E15),0)</f>
        <v>93</v>
      </c>
      <c r="G15" s="4" t="s">
        <v>63</v>
      </c>
      <c r="H15" s="4" t="s">
        <v>64</v>
      </c>
    </row>
    <row r="16" customFormat="false" ht="46.25" hidden="false" customHeight="false" outlineLevel="0" collapsed="false">
      <c r="A16" s="0" t="s">
        <v>24</v>
      </c>
      <c r="B16" s="0" t="s">
        <v>25</v>
      </c>
      <c r="C16" s="2" t="n">
        <v>100</v>
      </c>
      <c r="D16" s="2" t="n">
        <v>100</v>
      </c>
      <c r="E16" s="2" t="n">
        <v>85</v>
      </c>
      <c r="F16" s="2" t="n">
        <f aca="false">ROUND(AVERAGE(C16:E16),0)</f>
        <v>95</v>
      </c>
      <c r="G16" s="4" t="s">
        <v>65</v>
      </c>
      <c r="H16" s="4" t="s">
        <v>66</v>
      </c>
    </row>
    <row r="17" customFormat="false" ht="16.4" hidden="false" customHeight="false" outlineLevel="0" collapsed="false">
      <c r="A17" s="0" t="s">
        <v>26</v>
      </c>
      <c r="B17" s="0" t="s">
        <v>27</v>
      </c>
      <c r="C17" s="2" t="n">
        <v>100</v>
      </c>
      <c r="D17" s="2" t="n">
        <v>100</v>
      </c>
      <c r="E17" s="2" t="n">
        <v>100</v>
      </c>
      <c r="F17" s="2" t="n">
        <f aca="false">ROUND(AVERAGE(C17:E17),0)</f>
        <v>100</v>
      </c>
      <c r="G17" s="4" t="s">
        <v>47</v>
      </c>
      <c r="H17" s="4" t="s">
        <v>67</v>
      </c>
    </row>
    <row r="18" customFormat="false" ht="16.4" hidden="false" customHeight="false" outlineLevel="0" collapsed="false">
      <c r="A18" s="0" t="s">
        <v>28</v>
      </c>
      <c r="B18" s="0" t="s">
        <v>29</v>
      </c>
      <c r="C18" s="2" t="n">
        <v>100</v>
      </c>
      <c r="D18" s="2" t="n">
        <v>100</v>
      </c>
      <c r="E18" s="2" t="n">
        <v>100</v>
      </c>
      <c r="F18" s="2" t="n">
        <f aca="false">ROUND(AVERAGE(C18:E18),0)</f>
        <v>100</v>
      </c>
      <c r="G18" s="4" t="s">
        <v>47</v>
      </c>
      <c r="H18" s="4" t="s">
        <v>68</v>
      </c>
    </row>
    <row r="19" customFormat="false" ht="61.15" hidden="false" customHeight="false" outlineLevel="0" collapsed="false">
      <c r="A19" s="0" t="s">
        <v>30</v>
      </c>
      <c r="B19" s="0" t="s">
        <v>31</v>
      </c>
      <c r="C19" s="2" t="n">
        <v>95</v>
      </c>
      <c r="D19" s="2" t="n">
        <v>33</v>
      </c>
      <c r="E19" s="2" t="n">
        <v>40</v>
      </c>
      <c r="F19" s="2" t="n">
        <f aca="false">ROUND(AVERAGE(C19:E19),0)</f>
        <v>56</v>
      </c>
      <c r="G19" s="4" t="s">
        <v>69</v>
      </c>
      <c r="H19" s="4" t="s">
        <v>70</v>
      </c>
    </row>
    <row r="20" customFormat="false" ht="46.25" hidden="false" customHeight="false" outlineLevel="0" collapsed="false">
      <c r="A20" s="0" t="s">
        <v>32</v>
      </c>
      <c r="B20" s="0" t="s">
        <v>33</v>
      </c>
      <c r="C20" s="2" t="n">
        <v>75</v>
      </c>
      <c r="D20" s="2" t="n">
        <v>100</v>
      </c>
      <c r="E20" s="2" t="n">
        <v>85</v>
      </c>
      <c r="F20" s="2" t="n">
        <f aca="false">ROUND(AVERAGE(C20:E20),0)</f>
        <v>87</v>
      </c>
      <c r="G20" s="4" t="s">
        <v>71</v>
      </c>
      <c r="H20" s="4" t="s">
        <v>72</v>
      </c>
    </row>
    <row r="21" customFormat="false" ht="46.25" hidden="false" customHeight="false" outlineLevel="0" collapsed="false">
      <c r="A21" s="0" t="s">
        <v>34</v>
      </c>
      <c r="B21" s="0" t="s">
        <v>35</v>
      </c>
      <c r="C21" s="2" t="n">
        <v>100</v>
      </c>
      <c r="D21" s="2" t="n">
        <v>100</v>
      </c>
      <c r="E21" s="2" t="n">
        <v>75</v>
      </c>
      <c r="F21" s="2" t="n">
        <f aca="false">ROUND(AVERAGE(C21:E21),0)</f>
        <v>92</v>
      </c>
      <c r="G21" s="4" t="s">
        <v>73</v>
      </c>
      <c r="H21" s="4" t="s">
        <v>74</v>
      </c>
    </row>
  </sheetData>
  <mergeCells count="2">
    <mergeCell ref="A1:H1"/>
    <mergeCell ref="A2:H2"/>
  </mergeCells>
  <conditionalFormatting sqref="C5:F21">
    <cfRule type="colorScale" priority="2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2026-09-13T12:22:14Z</dcterms:modified>
  <cp:revision>1</cp:revision>
  <dc:subject/>
  <dc:title/>
</cp:coreProperties>
</file>