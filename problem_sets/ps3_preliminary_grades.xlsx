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8bfffbb7284e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rading Audit" sheetId="1" r:id="Rd5c23770ea4a4401"/>
    <x:sheet xmlns:r="http://schemas.openxmlformats.org/officeDocument/2006/relationships" name="Preliminary Grades" sheetId="2" r:id="R88cc4761958640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fea7bdaaaf4dd2" /><Relationship Type="http://schemas.openxmlformats.org/officeDocument/2006/relationships/theme" Target="/xl/theme/theme1.xml" Id="Re14fe4c5b2f84c42" /><Relationship Type="http://schemas.openxmlformats.org/officeDocument/2006/relationships/sharedStrings" Target="/xl/sharedStrings.xml" Id="R2e34c349c31a4e9a" /><Relationship Type="http://schemas.openxmlformats.org/officeDocument/2006/relationships/worksheet" Target="/xl/worksheets/sheet1.xml" Id="Rd5c23770ea4a4401" /><Relationship Type="http://schemas.openxmlformats.org/officeDocument/2006/relationships/worksheet" Target="/xl/worksheets/sheet2.xml" Id="R88cc4761958640fa" /></Relationships>
</file>

<file path=xl/tables/table1.xml><?xml version="1.0" encoding="utf-8"?>
<x:table xmlns:x="http://schemas.openxmlformats.org/spreadsheetml/2006/main" id="1" name="PS3UpdatedAuditTable" displayName="PS3UpdatedAuditTable" ref="A4:H24" headerRowCount="1" totalsRowCount="0" totalsRowShown="0">
  <x:tableColumns count="8">
    <x:tableColumn id="1" name="Last Name"/>
    <x:tableColumn id="2" name="Student ID"/>
    <x:tableColumn id="3" name="Completeness"/>
    <x:tableColumn id="4" name="Bug-Free"/>
    <x:tableColumn id="5" name="Meets Requirements"/>
    <x:tableColumn id="6" name="Preliminary Grade"/>
    <x:tableColumn id="7" name="Preliminary Notes"/>
    <x:tableColumn id="8" name="Submission Fil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S3UpdatedGradesTable" displayName="PS3UpdatedGradesTable" ref="A1:C21" headerRowCount="1" totalsRowCount="0" totalsRowShown="0">
  <x:tableColumns count="3">
    <x:tableColumn id="1" name="Last Name"/>
    <x:tableColumn id="2" name="Student ID"/>
    <x:tableColumn id="3" name="Preliminary Gra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963692d45c48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e554a2c56904486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72" hidden="0" customWidth="1"/>
    <x:col min="8" max="8" width="48" hidden="0" customWidth="1"/>
  </x:cols>
  <x:sheetData>
    <x:row r="1">
      <x:c r="A1" s="5" t="str">
        <x:v>Problem Set 3 Regraded — Updated Submissions</x:v>
      </x:c>
    </x:row>
    <x:row r="2" ht="42" customHeight="1">
      <x:c r="A2" s="10" t="str">
        <x:v>Rubric: Completeness, Bug-Free Execution, and Meets Requirements are equally weighted. Preliminary Grade = rounded mean of the three category scores. Earlier scores were preserved for unchanged submissions; new/current submissions were checked against the same Problem Set 3 requirements.</x:v>
      </x:c>
    </x:row>
    <x:row r="4">
      <x:c r="A4" s="24" t="str">
        <x:v>Last Name</x:v>
      </x:c>
      <x:c r="B4" s="24" t="str">
        <x:v>Student ID</x:v>
      </x:c>
      <x:c r="C4" s="24" t="str">
        <x:v>Completeness</x:v>
      </x:c>
      <x:c r="D4" s="24" t="str">
        <x:v>Bug-Free</x:v>
      </x:c>
      <x:c r="E4" s="24" t="str">
        <x:v>Meets Requirements</x:v>
      </x:c>
      <x:c r="F4" s="24" t="str">
        <x:v>Preliminary Grade</x:v>
      </x:c>
      <x:c r="G4" s="24" t="str">
        <x:v>Preliminary Notes</x:v>
      </x:c>
      <x:c r="H4" s="24" t="str">
        <x:v>Submission File</x:v>
      </x:c>
    </x:row>
    <x:row r="5">
      <x:c r="A5" s="25" t="str">
        <x:v>Aguayo</x:v>
      </x:c>
      <x:c r="B5" s="25" t="str">
        <x:v>Not found</x:v>
      </x:c>
      <x:c r="C5" s="26" t="n">
        <x:v>90</x:v>
      </x:c>
      <x:c r="D5" s="26" t="n">
        <x:v>100</x:v>
      </x:c>
      <x:c r="E5" s="26" t="n">
        <x:v>65</x:v>
      </x:c>
      <x:c r="F5" s="26" t="n">
        <x:f>ROUND(AVERAGE(C5:E5),0)</x:f>
        <x:v>85</x:v>
      </x:c>
      <x:c r="G5" s="27" t="str">
        <x:v>Exercise 1 calculations are present, including 0.99 and 1.01, but the required written pole explanations are missing. Exercise 2 does not use the required course-list/math_courses structure and stores full (name, ID, score) tuples rather than (name, ID). Exercise 3 uses three separate while loops instead of one loop over math_courses.</x:v>
      </x:c>
      <x:c r="H5" s="27" t="str">
        <x:v>Problem_Set_3.ipynb</x:v>
      </x:c>
    </x:row>
    <x:row r="6">
      <x:c r="A6" s="25" t="str">
        <x:v>Dong</x:v>
      </x:c>
      <x:c r="B6" s="25" t="str">
        <x:v>Not found</x:v>
      </x:c>
      <x:c r="C6" s="26" t="n">
        <x:v>100</x:v>
      </x:c>
      <x:c r="D6" s="26" t="n">
        <x:v>100</x:v>
      </x:c>
      <x:c r="E6" s="26" t="n">
        <x:v>75</x:v>
      </x:c>
      <x:c r="F6" s="26" t="n">
        <x:f>ROUND(AVERAGE(C6:E6),0)</x:f>
        <x:v>92</x:v>
      </x:c>
      <x:c r="G6" s="27" t="str">
        <x:v>The submission runs and includes all three exercises. Exercise 1 prints f(x) values but not x alongside f(x). Exercise 2 stores only names rather than (name, student_id). Exercise 3 adds len(math_courses[i]) rather than the roster length len(math_courses[i][1]), producing 6 only because each course record has length 2; the expected-total explanation is omitted.</x:v>
      </x:c>
      <x:c r="H6" s="27" t="str">
        <x:v>Bao_Problem_Set_3.ipynb</x:v>
      </x:c>
    </x:row>
    <x:row r="7">
      <x:c r="A7" s="25" t="str">
        <x:v>Garcia</x:v>
      </x:c>
      <x:c r="B7" s="25" t="str">
        <x:v>20689943</x:v>
      </x:c>
      <x:c r="C7" s="26" t="n">
        <x:v>100</x:v>
      </x:c>
      <x:c r="D7" s="26" t="n">
        <x:v>100</x:v>
      </x:c>
      <x:c r="E7" s="26" t="n">
        <x:v>100</x:v>
      </x:c>
      <x:c r="F7" s="26" t="n">
        <x:f>ROUND(AVERAGE(C7:E7),0)</x:f>
        <x:v>100</x:v>
      </x:c>
      <x:c r="G7" s="27" t="str">
        <x:v>Complete and clean. The function evaluation, pole explanations, placement function, required roster structure, one-loop placement logic, while-loop roster count, and final explanation all satisfy the assignment.</x:v>
      </x:c>
      <x:c r="H7" s="27" t="str">
        <x:v>Garcia_20689943_assignment#3.ipynb</x:v>
      </x:c>
    </x:row>
    <x:row r="8">
      <x:c r="A8" s="25" t="str">
        <x:v>Guerrero</x:v>
      </x:c>
      <x:c r="B8" s="25" t="str">
        <x:v>20701493</x:v>
      </x:c>
      <x:c r="C8" s="26" t="n">
        <x:v>90</x:v>
      </x:c>
      <x:c r="D8" s="26" t="n">
        <x:v>100</x:v>
      </x:c>
      <x:c r="E8" s="26" t="n">
        <x:v>85</x:v>
      </x:c>
      <x:c r="F8" s="26" t="n">
        <x:f>ROUND(AVERAGE(C8:E8),0)</x:f>
        <x:v>92</x:v>
      </x:c>
      <x:c r="G8" s="27" t="str">
        <x:v>The computational work runs and gives the intended rosters and total. The required written explanations for the pole behavior and final count are omitted. math_courses is a list rather than the requested tuple, and several course labels are misspelled or inconsistently capitalized.</x:v>
      </x:c>
      <x:c r="H8" s="27" t="str">
        <x:v>Problem_set3_Maggy_Guerrero_20701493.ipynb</x:v>
      </x:c>
    </x:row>
    <x:row r="9">
      <x:c r="A9" s="25" t="str">
        <x:v>Hamilton</x:v>
      </x:c>
      <x:c r="B9" s="25" t="str">
        <x:v>20672759</x:v>
      </x:c>
      <x:c r="C9" s="26" t="n">
        <x:v>90</x:v>
      </x:c>
      <x:c r="D9" s="26" t="n">
        <x:v>100</x:v>
      </x:c>
      <x:c r="E9" s="26" t="n">
        <x:v>98</x:v>
      </x:c>
      <x:c r="F9" s="26" t="n">
        <x:f>ROUND(AVERAGE(C9:E9),0)</x:f>
        <x:v>96</x:v>
      </x:c>
      <x:c r="G9" s="27" t="str">
        <x:v>The code is correct and runs cleanly. The explanation for excluding x=1 is present, but the required discussion of magnitude/sign near the pole and the explanation of why the final total should be 6 are omitted.</x:v>
      </x:c>
      <x:c r="H9" s="27" t="str">
        <x:v>Hamilton_20672759-3.ipynb</x:v>
      </x:c>
    </x:row>
    <x:row r="10">
      <x:c r="A10" s="25" t="str">
        <x:v>Harrison</x:v>
      </x:c>
      <x:c r="B10" s="25" t="str">
        <x:v>Not found</x:v>
      </x:c>
      <x:c r="C10" s="26" t="n">
        <x:v>80</x:v>
      </x:c>
      <x:c r="D10" s="26" t="n">
        <x:v>100</x:v>
      </x:c>
      <x:c r="E10" s="26" t="n">
        <x:v>45</x:v>
      </x:c>
      <x:c r="F10" s="26" t="n">
        <x:f>ROUND(AVERAGE(C10:E10),0)</x:f>
        <x:v>75</x:v>
      </x:c>
      <x:c r="G10" s="27" t="str">
        <x:v>New submission. Exercise 1 evaluates the requested values but omits the written pole explanations. In placement(), score 2 is excluded from the Trigonometry range, so Sophia is omitted from all rosters. Exercise 3 begins with i=1 and counts only later course records, producing Total: 3 rather than 6. The file executes without a Python runtime error, but the logic does not meet several stated requirements.</x:v>
      </x:c>
      <x:c r="H10" s="27" t="str">
        <x:v>homework_3.py</x:v>
      </x:c>
    </x:row>
    <x:row r="11">
      <x:c r="A11" s="25" t="str">
        <x:v>Lam</x:v>
      </x:c>
      <x:c r="B11" s="25" t="str">
        <x:v>20693757</x:v>
      </x:c>
      <x:c r="C11" s="26" t="n">
        <x:v>0</x:v>
      </x:c>
      <x:c r="D11" s="26" t="n">
        <x:v>0</x:v>
      </x:c>
      <x:c r="E11" s="26" t="n">
        <x:v>0</x:v>
      </x:c>
      <x:c r="F11" s="26" t="n">
        <x:f>ROUND(AVERAGE(C11:E11),0)</x:f>
        <x:v>0</x:v>
      </x:c>
      <x:c r="G11" s="27" t="str">
        <x:v>The submitted notebook contains Problem Set 2 work rather than Problem Set 3. It does not provide the required pole-function, placement-function, or roster-count exercises for Problem Set 3.</x:v>
      </x:c>
      <x:c r="H11" s="27" t="str">
        <x:v>Aleck_Lam_20693757_Problem_Set_3_Loops_and_Functions.ipynb</x:v>
      </x:c>
    </x:row>
    <x:row r="12">
      <x:c r="A12" s="25" t="str">
        <x:v>Locashio</x:v>
      </x:c>
      <x:c r="B12" s="25" t="str">
        <x:v>20693381</x:v>
      </x:c>
      <x:c r="C12" s="26" t="n">
        <x:v>45</x:v>
      </x:c>
      <x:c r="D12" s="26" t="n">
        <x:v>100</x:v>
      </x:c>
      <x:c r="E12" s="26" t="n">
        <x:v>20</x:v>
      </x:c>
      <x:c r="F12" s="26" t="n">
        <x:f>ROUND(AVERAGE(C12:E12),0)</x:f>
        <x:v>55</x:v>
      </x:c>
      <x:c r="G12" s="27" t="str">
        <x:v>Exercise 1 defines f(x) but does not actually call and print it for the required values or test 0.99/1.01. Exercise 2 prints course names instead of returning them and never processes the student list into the rosters. Exercise 3 is absent. The submitted cells themselves do not raise a runtime error.</x:v>
      </x:c>
      <x:c r="H12" s="27" t="str">
        <x:v>Locashio_20693381 (1).ipynb</x:v>
      </x:c>
    </x:row>
    <x:row r="13">
      <x:c r="A13" s="25" t="str">
        <x:v>Martinez-Amaro</x:v>
      </x:c>
      <x:c r="B13" s="25" t="str">
        <x:v>20698625</x:v>
      </x:c>
      <x:c r="C13" s="26" t="n">
        <x:v>80</x:v>
      </x:c>
      <x:c r="D13" s="26" t="n">
        <x:v>100</x:v>
      </x:c>
      <x:c r="E13" s="26" t="n">
        <x:v>85</x:v>
      </x:c>
      <x:c r="F13" s="26" t="n">
        <x:f>ROUND(AVERAGE(C13:E13),0)</x:f>
        <x:v>88</x:v>
      </x:c>
      <x:c r="G13" s="27" t="str">
        <x:v>Exercise 2 and the while-loop count are correct. Exercise 1 omits the 0.99 and 1.01 tests and the written pole explanations, and prints f(x) without x. The final explanation of why the roster count is 6 is also omitted.</x:v>
      </x:c>
      <x:c r="H13" s="27" t="str">
        <x:v>HectorMartinez_20698625.ipynb</x:v>
      </x:c>
    </x:row>
    <x:row r="14">
      <x:c r="A14" s="25" t="str">
        <x:v>Moore</x:v>
      </x:c>
      <x:c r="B14" s="25" t="str">
        <x:v>20694059</x:v>
      </x:c>
      <x:c r="C14" s="26" t="n">
        <x:v>90</x:v>
      </x:c>
      <x:c r="D14" s="26" t="n">
        <x:v>100</x:v>
      </x:c>
      <x:c r="E14" s="26" t="n">
        <x:v>95</x:v>
      </x:c>
      <x:c r="F14" s="26" t="n">
        <x:f>ROUND(AVERAGE(C14:E14),0)</x:f>
        <x:v>95</x:v>
      </x:c>
      <x:c r="G14" s="27" t="str">
        <x:v>The submitted code runs and correctly completes the numerical function evaluation, placement function, roster construction, and while-loop count. The principal omissions are the required written explanations in Exercise 1 and the explanation of the expected total in Exercise 3.</x:v>
      </x:c>
      <x:c r="H14" s="27" t="str">
        <x:v>Meadow_Moore_20694059_Problem_Set_3_Loops_and_Functions.ipynb</x:v>
      </x:c>
    </x:row>
    <x:row r="15">
      <x:c r="A15" s="25" t="str">
        <x:v>Needles</x:v>
      </x:c>
      <x:c r="B15" s="25" t="str">
        <x:v>20686013</x:v>
      </x:c>
      <x:c r="C15" s="26" t="n">
        <x:v>85</x:v>
      </x:c>
      <x:c r="D15" s="26" t="n">
        <x:v>100</x:v>
      </x:c>
      <x:c r="E15" s="26" t="n">
        <x:v>70</x:v>
      </x:c>
      <x:c r="F15" s="26" t="n">
        <x:f>ROUND(AVERAGE(C15:E15),0)</x:f>
        <x:v>85</x:v>
      </x:c>
      <x:c r="G15" s="27" t="str">
        <x:v>New submission. Exercise 1 evaluates all requested values but omits the written pole explanations. Exercise 2 produces the correct rosters, although Trigonometry is misspelled internally and the requested placement tests for scores 1, 3, and 5 are omitted. Exercise 3 adds len(rosters[i]) instead of len(rosters[i][1]); it produces 6 only because each course record has two elements, and the final explanation is omitted.</x:v>
      </x:c>
      <x:c r="H15" s="27" t="str">
        <x:v>needles_20686013.ipynb</x:v>
      </x:c>
    </x:row>
    <x:row r="16">
      <x:c r="A16" s="25" t="str">
        <x:v>Nguyen</x:v>
      </x:c>
      <x:c r="B16" s="25" t="str">
        <x:v>20695448</x:v>
      </x:c>
      <x:c r="C16" s="26" t="n">
        <x:v>75</x:v>
      </x:c>
      <x:c r="D16" s="26" t="n">
        <x:v>100</x:v>
      </x:c>
      <x:c r="E16" s="26" t="n">
        <x:v>60</x:v>
      </x:c>
      <x:c r="F16" s="26" t="n">
        <x:f>ROUND(AVERAGE(C16:E16),0)</x:f>
        <x:v>78</x:v>
      </x:c>
      <x:c r="G16" s="27" t="str">
        <x:v>The notebook executes, but Exercise 1 omits the 0.99/1.01 tests, the sign/magnitude discussion, and printing x with f(x). Exercise 2 stores only student names rather than (name, student_id) and introduces extra roster-display logic. Exercise 3 uses an additional for loop to count students rather than adding len(math_courses[i][1]) and omits the expected-total explanation.</x:v>
      </x:c>
      <x:c r="H16" s="27" t="str">
        <x:v>Nguyen_20695448_Problem_Set3.ipynb</x:v>
      </x:c>
    </x:row>
    <x:row r="17">
      <x:c r="A17" s="25" t="str">
        <x:v>Nishikawa</x:v>
      </x:c>
      <x:c r="B17" s="25" t="str">
        <x:v>20697206</x:v>
      </x:c>
      <x:c r="C17" s="26" t="n">
        <x:v>90</x:v>
      </x:c>
      <x:c r="D17" s="26" t="n">
        <x:v>100</x:v>
      </x:c>
      <x:c r="E17" s="26" t="n">
        <x:v>90</x:v>
      </x:c>
      <x:c r="F17" s="26" t="n">
        <x:f>ROUND(AVERAGE(C17:E17),0)</x:f>
        <x:v>93</x:v>
      </x:c>
      <x:c r="G17" s="27" t="str">
        <x:v>The numerical work and course placement are correct and execute cleanly. Exercise 1 lacks the required written explanations for x=1 and the near-pole sign/magnitude. Exercise 3 counts correctly but uses a for loop inside the while loop instead of adding the roster length directly, and the final explanation is omitted.</x:v>
      </x:c>
      <x:c r="H17" s="27" t="str">
        <x:v>Michael_Nishikawa_20697206 (1).ipynb</x:v>
      </x:c>
    </x:row>
    <x:row r="18">
      <x:c r="A18" s="25" t="str">
        <x:v>Ögren</x:v>
      </x:c>
      <x:c r="B18" s="25" t="str">
        <x:v>20674779</x:v>
      </x:c>
      <x:c r="C18" s="26" t="n">
        <x:v>95</x:v>
      </x:c>
      <x:c r="D18" s="26" t="n">
        <x:v>100</x:v>
      </x:c>
      <x:c r="E18" s="26" t="n">
        <x:v>90</x:v>
      </x:c>
      <x:c r="F18" s="26" t="n">
        <x:f>ROUND(AVERAGE(C18:E18),0)</x:f>
        <x:v>95</x:v>
      </x:c>
      <x:c r="G18" s="27" t="str">
        <x:v>Exercise 1 includes the required near-pole values and brief explanations, and Exercise 2 is correct. Exercise 3 reaches the correct total, but uses three separate while loops rather than the required single while loop over math_courses.</x:v>
      </x:c>
      <x:c r="H18" s="27" t="str">
        <x:v>ArvidOegren_20674779 (4).ipynb</x:v>
      </x:c>
    </x:row>
    <x:row r="19">
      <x:c r="A19" s="25" t="str">
        <x:v>Poindexter</x:v>
      </x:c>
      <x:c r="B19" s="25" t="str">
        <x:v>20701040</x:v>
      </x:c>
      <x:c r="C19" s="26" t="n">
        <x:v>100</x:v>
      </x:c>
      <x:c r="D19" s="26" t="n">
        <x:v>100</x:v>
      </x:c>
      <x:c r="E19" s="26" t="n">
        <x:v>100</x:v>
      </x:c>
      <x:c r="F19" s="26" t="n">
        <x:f>ROUND(AVERAGE(C19:E19),0)</x:f>
        <x:v>100</x:v>
      </x:c>
      <x:c r="G19" s="27" t="str">
        <x:v>Complete and clean. The function evaluation and explanations are present, placement() is reused without duplicating the placement rules, the required student information is stored in the rosters, and the while-loop count and explanation are correct.</x:v>
      </x:c>
      <x:c r="H19" s="27" t="str">
        <x:v>louise_poindexter_20701040 (2).py</x:v>
      </x:c>
    </x:row>
    <x:row r="20">
      <x:c r="A20" s="25" t="str">
        <x:v>Prola</x:v>
      </x:c>
      <x:c r="B20" s="25" t="str">
        <x:v>20700028</x:v>
      </x:c>
      <x:c r="C20" s="26" t="n">
        <x:v>100</x:v>
      </x:c>
      <x:c r="D20" s="26" t="n">
        <x:v>100</x:v>
      </x:c>
      <x:c r="E20" s="26" t="n">
        <x:v>100</x:v>
      </x:c>
      <x:c r="F20" s="26" t="n">
        <x:f>ROUND(AVERAGE(C20:E20),0)</x:f>
        <x:v>100</x:v>
      </x:c>
      <x:c r="G20" s="27" t="str">
        <x:v>Complete and clean. All requested calculations, explanations, data structures, placement tests, roster construction, while-loop count, and final explanation are present and correct.</x:v>
      </x:c>
      <x:c r="H20" s="27" t="str">
        <x:v>Problemset_3_Christian_Prola_ID_20700028.ipynb</x:v>
      </x:c>
    </x:row>
    <x:row r="21">
      <x:c r="A21" s="25" t="str">
        <x:v>Rivera</x:v>
      </x:c>
      <x:c r="B21" s="25" t="str">
        <x:v>20698645</x:v>
      </x:c>
      <x:c r="C21" s="26" t="n">
        <x:v>70</x:v>
      </x:c>
      <x:c r="D21" s="26" t="n">
        <x:v>35</x:v>
      </x:c>
      <x:c r="E21" s="26" t="n">
        <x:v>63</x:v>
      </x:c>
      <x:c r="F21" s="26" t="n">
        <x:f>ROUND(AVERAGE(C21:E21),0)</x:f>
        <x:v>56</x:v>
      </x:c>
      <x:c r="G21" s="27" t="str">
        <x:v>Exercise 1 is substantially complete. In a clean top-to-bottom run, Exercise 2 fails because placement() references roster variables before they are defined; its list append calls also use an invalid two-argument form. Exercise 3 refers to an undefined variable course and does not compute the requested total. Major parts of Exercises 2 and 3 therefore do not execute successfully.</x:v>
      </x:c>
      <x:c r="H21" s="27" t="str">
        <x:v>rivera_20698645_PS3.ipynb</x:v>
      </x:c>
    </x:row>
    <x:row r="22">
      <x:c r="A22" s="25" t="str">
        <x:v>Tran</x:v>
      </x:c>
      <x:c r="B22" s="25" t="str">
        <x:v>Not found</x:v>
      </x:c>
      <x:c r="C22" s="26" t="n">
        <x:v>100</x:v>
      </x:c>
      <x:c r="D22" s="26" t="n">
        <x:v>100</x:v>
      </x:c>
      <x:c r="E22" s="26" t="n">
        <x:v>100</x:v>
      </x:c>
      <x:c r="F22" s="26" t="n">
        <x:f>ROUND(AVERAGE(C22:E22),0)</x:f>
        <x:v>100</x:v>
      </x:c>
      <x:c r="G22" s="27" t="str">
        <x:v>New submission uploaded separately. All three exercises are complete and execute correctly: the pole function and explanations are present, placement() and the required roster structures are correct, and the single while loop counts all six students with an appropriate explanation.</x:v>
      </x:c>
      <x:c r="H22" s="27" t="str">
        <x:v>Problem_3__Tien_Dat_Tran.ipynb</x:v>
      </x:c>
    </x:row>
    <x:row r="23">
      <x:c r="A23" s="25" t="str">
        <x:v>Villarruel</x:v>
      </x:c>
      <x:c r="B23" s="25" t="str">
        <x:v>20694193</x:v>
      </x:c>
      <x:c r="C23" s="26" t="n">
        <x:v>80</x:v>
      </x:c>
      <x:c r="D23" s="26" t="n">
        <x:v>100</x:v>
      </x:c>
      <x:c r="E23" s="26" t="n">
        <x:v>80</x:v>
      </x:c>
      <x:c r="F23" s="26" t="n">
        <x:f>ROUND(AVERAGE(C23:E23),0)</x:f>
        <x:v>87</x:v>
      </x:c>
      <x:c r="G23" s="27" t="str">
        <x:v>Exercise 2 and the while-loop count are correct and run cleanly. Exercise 1 evaluates only the original values, prints f(x) without x, and omits the 0.99/1.01 tests and written pole explanations. The final explanation of why the total is 6 is also omitted.</x:v>
      </x:c>
      <x:c r="H23" s="27" t="str">
        <x:v>20694193_Sarah_Villarruel_HW_3_CS.ipynb</x:v>
      </x:c>
    </x:row>
    <x:row r="24">
      <x:c r="A24" s="25" t="str">
        <x:v>Viramontes</x:v>
      </x:c>
      <x:c r="B24" s="25" t="str">
        <x:v>20694811</x:v>
      </x:c>
      <x:c r="C24" s="26" t="n">
        <x:v>95</x:v>
      </x:c>
      <x:c r="D24" s="26" t="n">
        <x:v>100</x:v>
      </x:c>
      <x:c r="E24" s="26" t="n">
        <x:v>80</x:v>
      </x:c>
      <x:c r="F24" s="26" t="n">
        <x:f>ROUND(AVERAGE(C24:E24),0)</x:f>
        <x:v>92</x:v>
      </x:c>
      <x:c r="G24" s="27" t="str">
        <x:v>Exercise 1 is complete, including the near-pole explanation. In Exercise 2, the placement condition sends score 2 to Algebra rather than Trigonometry, so the resulting rosters are incorrect. Exercise 3 prints a total of 6, but its statement that there are two students in each course conflicts with the produced 3/1/2 roster distribution.</x:v>
      </x:c>
      <x:c r="H24" s="27" t="str">
        <x:v>viramontes_christian20694811ipynb.ipynb</x:v>
      </x:c>
    </x:row>
  </x:sheetData>
  <x:mergeCells>
    <x:mergeCell ref="A1:H1"/>
    <x:mergeCell ref="A2:H2"/>
  </x:mergeCells>
  <x:conditionalFormatting sqref="C5:F24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9963692d45c48c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0" hidden="0" customWidth="1"/>
  </x:cols>
  <x:sheetData>
    <x:row r="1">
      <x:c r="A1" s="34" t="str">
        <x:v>Last Name</x:v>
      </x:c>
      <x:c r="B1" s="34" t="str">
        <x:v>Student ID</x:v>
      </x:c>
      <x:c r="C1" s="34" t="str">
        <x:v>Preliminary Grade</x:v>
      </x:c>
    </x:row>
    <x:row r="2">
      <x:c r="A2" t="str">
        <x:v>Aguayo</x:v>
      </x:c>
      <x:c r="B2" t="str">
        <x:v>Not found</x:v>
      </x:c>
      <x:c r="C2" s="22" t="n">
        <x:f>'Grading Audit'!F5</x:f>
        <x:v>85</x:v>
      </x:c>
    </x:row>
    <x:row r="3">
      <x:c r="A3" t="str">
        <x:v>Dong</x:v>
      </x:c>
      <x:c r="B3" t="str">
        <x:v>Not found</x:v>
      </x:c>
      <x:c r="C3" s="22" t="n">
        <x:f>'Grading Audit'!F6</x:f>
        <x:v>92</x:v>
      </x:c>
    </x:row>
    <x:row r="4">
      <x:c r="A4" t="str">
        <x:v>Garcia</x:v>
      </x:c>
      <x:c r="B4" t="str">
        <x:v>20689943</x:v>
      </x:c>
      <x:c r="C4" s="22" t="n">
        <x:f>'Grading Audit'!F7</x:f>
        <x:v>100</x:v>
      </x:c>
    </x:row>
    <x:row r="5">
      <x:c r="A5" t="str">
        <x:v>Guerrero</x:v>
      </x:c>
      <x:c r="B5" t="str">
        <x:v>20701493</x:v>
      </x:c>
      <x:c r="C5" s="22" t="n">
        <x:f>'Grading Audit'!F8</x:f>
        <x:v>92</x:v>
      </x:c>
    </x:row>
    <x:row r="6">
      <x:c r="A6" t="str">
        <x:v>Hamilton</x:v>
      </x:c>
      <x:c r="B6" t="str">
        <x:v>20672759</x:v>
      </x:c>
      <x:c r="C6" s="22" t="n">
        <x:f>'Grading Audit'!F9</x:f>
        <x:v>96</x:v>
      </x:c>
    </x:row>
    <x:row r="7">
      <x:c r="A7" t="str">
        <x:v>Harrison</x:v>
      </x:c>
      <x:c r="B7" t="str">
        <x:v>Not found</x:v>
      </x:c>
      <x:c r="C7" s="22" t="n">
        <x:f>'Grading Audit'!F10</x:f>
        <x:v>75</x:v>
      </x:c>
    </x:row>
    <x:row r="8">
      <x:c r="A8" t="str">
        <x:v>Lam</x:v>
      </x:c>
      <x:c r="B8" t="str">
        <x:v>20693757</x:v>
      </x:c>
      <x:c r="C8" s="22" t="n">
        <x:f>'Grading Audit'!F11</x:f>
        <x:v>0</x:v>
      </x:c>
    </x:row>
    <x:row r="9">
      <x:c r="A9" t="str">
        <x:v>Locashio</x:v>
      </x:c>
      <x:c r="B9" t="str">
        <x:v>20693381</x:v>
      </x:c>
      <x:c r="C9" s="22" t="n">
        <x:f>'Grading Audit'!F12</x:f>
        <x:v>55</x:v>
      </x:c>
    </x:row>
    <x:row r="10">
      <x:c r="A10" t="str">
        <x:v>Martinez-Amaro</x:v>
      </x:c>
      <x:c r="B10" t="str">
        <x:v>20698625</x:v>
      </x:c>
      <x:c r="C10" s="22" t="n">
        <x:f>'Grading Audit'!F13</x:f>
        <x:v>88</x:v>
      </x:c>
    </x:row>
    <x:row r="11">
      <x:c r="A11" t="str">
        <x:v>Moore</x:v>
      </x:c>
      <x:c r="B11" t="str">
        <x:v>20694059</x:v>
      </x:c>
      <x:c r="C11" s="22" t="n">
        <x:f>'Grading Audit'!F14</x:f>
        <x:v>95</x:v>
      </x:c>
    </x:row>
    <x:row r="12">
      <x:c r="A12" t="str">
        <x:v>Needles</x:v>
      </x:c>
      <x:c r="B12" t="str">
        <x:v>20686013</x:v>
      </x:c>
      <x:c r="C12" s="22" t="n">
        <x:f>'Grading Audit'!F15</x:f>
        <x:v>85</x:v>
      </x:c>
    </x:row>
    <x:row r="13">
      <x:c r="A13" t="str">
        <x:v>Nguyen</x:v>
      </x:c>
      <x:c r="B13" t="str">
        <x:v>20695448</x:v>
      </x:c>
      <x:c r="C13" s="22" t="n">
        <x:f>'Grading Audit'!F16</x:f>
        <x:v>78</x:v>
      </x:c>
    </x:row>
    <x:row r="14">
      <x:c r="A14" t="str">
        <x:v>Nishikawa</x:v>
      </x:c>
      <x:c r="B14" t="str">
        <x:v>20697206</x:v>
      </x:c>
      <x:c r="C14" s="22" t="n">
        <x:f>'Grading Audit'!F17</x:f>
        <x:v>93</x:v>
      </x:c>
    </x:row>
    <x:row r="15">
      <x:c r="A15" t="str">
        <x:v>Ögren</x:v>
      </x:c>
      <x:c r="B15" t="str">
        <x:v>20674779</x:v>
      </x:c>
      <x:c r="C15" s="22" t="n">
        <x:f>'Grading Audit'!F18</x:f>
        <x:v>95</x:v>
      </x:c>
    </x:row>
    <x:row r="16">
      <x:c r="A16" t="str">
        <x:v>Poindexter</x:v>
      </x:c>
      <x:c r="B16" t="str">
        <x:v>20701040</x:v>
      </x:c>
      <x:c r="C16" s="22" t="n">
        <x:f>'Grading Audit'!F19</x:f>
        <x:v>100</x:v>
      </x:c>
    </x:row>
    <x:row r="17">
      <x:c r="A17" t="str">
        <x:v>Prola</x:v>
      </x:c>
      <x:c r="B17" t="str">
        <x:v>20700028</x:v>
      </x:c>
      <x:c r="C17" s="22" t="n">
        <x:f>'Grading Audit'!F20</x:f>
        <x:v>100</x:v>
      </x:c>
    </x:row>
    <x:row r="18">
      <x:c r="A18" t="str">
        <x:v>Rivera</x:v>
      </x:c>
      <x:c r="B18" t="str">
        <x:v>20698645</x:v>
      </x:c>
      <x:c r="C18" s="22" t="n">
        <x:f>'Grading Audit'!F21</x:f>
        <x:v>56</x:v>
      </x:c>
    </x:row>
    <x:row r="19">
      <x:c r="A19" t="str">
        <x:v>Tran</x:v>
      </x:c>
      <x:c r="B19" t="str">
        <x:v>Not found</x:v>
      </x:c>
      <x:c r="C19" s="22" t="n">
        <x:f>'Grading Audit'!F22</x:f>
        <x:v>100</x:v>
      </x:c>
    </x:row>
    <x:row r="20">
      <x:c r="A20" t="str">
        <x:v>Villarruel</x:v>
      </x:c>
      <x:c r="B20" t="str">
        <x:v>20694193</x:v>
      </x:c>
      <x:c r="C20" s="22" t="n">
        <x:f>'Grading Audit'!F23</x:f>
        <x:v>87</x:v>
      </x:c>
    </x:row>
    <x:row r="21">
      <x:c r="A21" t="str">
        <x:v>Viramontes</x:v>
      </x:c>
      <x:c r="B21" t="str">
        <x:v>20694811</x:v>
      </x:c>
      <x:c r="C21" s="22" t="n">
        <x:f>'Grading Audit'!F24</x:f>
        <x:v>92</x:v>
      </x:c>
    </x:row>
  </x:sheetData>
  <x:conditionalFormatting sqref="C2:C2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e554a2c56904486"/>
  </x:tableParts>
</x:worksheet>
</file>